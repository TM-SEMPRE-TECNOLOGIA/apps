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hiag\Desktop\000 - Minha Demanda\2 - EM ANDAMENTO\VILA TATETUBA 7027 - Finalizando\- Envio portal\"/>
    </mc:Choice>
  </mc:AlternateContent>
  <xr:revisionPtr revIDLastSave="0" documentId="13_ncr:1_{0F10646E-C388-4952-B1F5-AAEEEB153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" sheetId="7" r:id="rId1"/>
    <sheet name="Conformidade" sheetId="8" r:id="rId2"/>
    <sheet name="Valores" sheetId="2" r:id="rId3"/>
    <sheet name="Prefixos" sheetId="9" r:id="rId4"/>
    <sheet name="BDI" sheetId="3" r:id="rId5"/>
  </sheets>
  <definedNames>
    <definedName name="_xlnm._FilterDatabase" localSheetId="2" hidden="1">Valores!$A$7:$J$537</definedName>
    <definedName name="_xlnm.Print_Area" localSheetId="4">BDI!$A$1:$C$29</definedName>
    <definedName name="_xlnm.Print_Area" localSheetId="0">RAT!$B$1:$Q$71</definedName>
    <definedName name="_xlnm.Print_Area" localSheetId="2">Valores!$A$1:$N$550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7" l="1"/>
  <c r="N19" i="7"/>
  <c r="N20" i="7"/>
  <c r="N21" i="7"/>
  <c r="N22" i="7"/>
  <c r="N23" i="7"/>
  <c r="N24" i="7"/>
  <c r="P24" i="7" s="1"/>
  <c r="N25" i="7"/>
  <c r="P25" i="7" s="1"/>
  <c r="N26" i="7"/>
  <c r="P26" i="7" s="1"/>
  <c r="N27" i="7"/>
  <c r="N28" i="7"/>
  <c r="P28" i="7" s="1"/>
  <c r="N29" i="7"/>
  <c r="P29" i="7" s="1"/>
  <c r="N30" i="7"/>
  <c r="P30" i="7" s="1"/>
  <c r="N31" i="7"/>
  <c r="P31" i="7" s="1"/>
  <c r="N32" i="7"/>
  <c r="P32" i="7" s="1"/>
  <c r="N33" i="7"/>
  <c r="P33" i="7" s="1"/>
  <c r="N34" i="7"/>
  <c r="P34" i="7" s="1"/>
  <c r="N35" i="7"/>
  <c r="N36" i="7"/>
  <c r="P36" i="7" s="1"/>
  <c r="N37" i="7"/>
  <c r="P37" i="7" s="1"/>
  <c r="N38" i="7"/>
  <c r="N39" i="7"/>
  <c r="N40" i="7"/>
  <c r="P40" i="7" s="1"/>
  <c r="N41" i="7"/>
  <c r="P41" i="7" s="1"/>
  <c r="N42" i="7"/>
  <c r="P42" i="7" s="1"/>
  <c r="N43" i="7"/>
  <c r="P43" i="7" s="1"/>
  <c r="N44" i="7"/>
  <c r="N45" i="7"/>
  <c r="P45" i="7" s="1"/>
  <c r="N46" i="7"/>
  <c r="P46" i="7" s="1"/>
  <c r="N47" i="7"/>
  <c r="N48" i="7"/>
  <c r="P48" i="7" s="1"/>
  <c r="N49" i="7"/>
  <c r="P49" i="7" s="1"/>
  <c r="N50" i="7"/>
  <c r="P50" i="7" s="1"/>
  <c r="N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18" i="7"/>
  <c r="K19" i="7"/>
  <c r="K20" i="7"/>
  <c r="K21" i="7"/>
  <c r="K22" i="7"/>
  <c r="Q22" i="7" s="1"/>
  <c r="K23" i="7"/>
  <c r="Q23" i="7" s="1"/>
  <c r="K24" i="7"/>
  <c r="Q24" i="7" s="1"/>
  <c r="K25" i="7"/>
  <c r="Q25" i="7" s="1"/>
  <c r="K26" i="7"/>
  <c r="Q26" i="7" s="1"/>
  <c r="K27" i="7"/>
  <c r="Q27" i="7" s="1"/>
  <c r="K28" i="7"/>
  <c r="K29" i="7"/>
  <c r="Q29" i="7" s="1"/>
  <c r="K30" i="7"/>
  <c r="Q30" i="7" s="1"/>
  <c r="K31" i="7"/>
  <c r="Q31" i="7" s="1"/>
  <c r="K32" i="7"/>
  <c r="Q32" i="7" s="1"/>
  <c r="K33" i="7"/>
  <c r="Q33" i="7" s="1"/>
  <c r="K34" i="7"/>
  <c r="Q34" i="7" s="1"/>
  <c r="K35" i="7"/>
  <c r="Q35" i="7" s="1"/>
  <c r="K36" i="7"/>
  <c r="Q36" i="7" s="1"/>
  <c r="K37" i="7"/>
  <c r="Q37" i="7" s="1"/>
  <c r="K38" i="7"/>
  <c r="Q38" i="7" s="1"/>
  <c r="K39" i="7"/>
  <c r="Q39" i="7" s="1"/>
  <c r="K40" i="7"/>
  <c r="Q40" i="7" s="1"/>
  <c r="K41" i="7"/>
  <c r="K42" i="7"/>
  <c r="Q42" i="7" s="1"/>
  <c r="K43" i="7"/>
  <c r="Q43" i="7" s="1"/>
  <c r="K44" i="7"/>
  <c r="K45" i="7"/>
  <c r="Q45" i="7" s="1"/>
  <c r="K46" i="7"/>
  <c r="Q46" i="7" s="1"/>
  <c r="K47" i="7"/>
  <c r="Q47" i="7" s="1"/>
  <c r="K48" i="7"/>
  <c r="Q48" i="7" s="1"/>
  <c r="K49" i="7"/>
  <c r="Q49" i="7" s="1"/>
  <c r="K50" i="7"/>
  <c r="Q50" i="7" s="1"/>
  <c r="K18" i="7"/>
  <c r="M19" i="7"/>
  <c r="M20" i="7"/>
  <c r="M21" i="7"/>
  <c r="M22" i="7"/>
  <c r="O22" i="7" s="1"/>
  <c r="M23" i="7"/>
  <c r="O23" i="7" s="1"/>
  <c r="M24" i="7"/>
  <c r="M25" i="7"/>
  <c r="O25" i="7" s="1"/>
  <c r="M26" i="7"/>
  <c r="O26" i="7" s="1"/>
  <c r="M27" i="7"/>
  <c r="O27" i="7" s="1"/>
  <c r="M28" i="7"/>
  <c r="M29" i="7"/>
  <c r="O29" i="7" s="1"/>
  <c r="M30" i="7"/>
  <c r="O30" i="7" s="1"/>
  <c r="M31" i="7"/>
  <c r="O31" i="7" s="1"/>
  <c r="M32" i="7"/>
  <c r="O32" i="7" s="1"/>
  <c r="M33" i="7"/>
  <c r="M34" i="7"/>
  <c r="O34" i="7" s="1"/>
  <c r="M35" i="7"/>
  <c r="M36" i="7"/>
  <c r="O36" i="7" s="1"/>
  <c r="M37" i="7"/>
  <c r="O37" i="7" s="1"/>
  <c r="M38" i="7"/>
  <c r="O38" i="7" s="1"/>
  <c r="M39" i="7"/>
  <c r="O39" i="7" s="1"/>
  <c r="M40" i="7"/>
  <c r="O40" i="7" s="1"/>
  <c r="M41" i="7"/>
  <c r="O41" i="7" s="1"/>
  <c r="M42" i="7"/>
  <c r="O42" i="7" s="1"/>
  <c r="M43" i="7"/>
  <c r="O43" i="7" s="1"/>
  <c r="M44" i="7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18" i="7"/>
  <c r="O28" i="7"/>
  <c r="Q28" i="7"/>
  <c r="C28" i="7"/>
  <c r="P27" i="7"/>
  <c r="C27" i="7"/>
  <c r="C26" i="7"/>
  <c r="C25" i="7"/>
  <c r="C50" i="7"/>
  <c r="C49" i="7"/>
  <c r="C48" i="7"/>
  <c r="P47" i="7"/>
  <c r="C47" i="7"/>
  <c r="C46" i="7"/>
  <c r="C45" i="7"/>
  <c r="P44" i="7"/>
  <c r="Q44" i="7"/>
  <c r="C44" i="7"/>
  <c r="C43" i="7"/>
  <c r="C42" i="7"/>
  <c r="Q41" i="7"/>
  <c r="C41" i="7"/>
  <c r="C40" i="7"/>
  <c r="C19" i="7"/>
  <c r="C20" i="7"/>
  <c r="C21" i="7"/>
  <c r="C22" i="7"/>
  <c r="C23" i="7"/>
  <c r="C24" i="7"/>
  <c r="C29" i="7"/>
  <c r="C30" i="7"/>
  <c r="C31" i="7"/>
  <c r="C32" i="7"/>
  <c r="C33" i="7"/>
  <c r="C34" i="7"/>
  <c r="C35" i="7"/>
  <c r="C36" i="7"/>
  <c r="C37" i="7"/>
  <c r="C38" i="7"/>
  <c r="C39" i="7"/>
  <c r="C18" i="7"/>
  <c r="P39" i="7"/>
  <c r="P38" i="7"/>
  <c r="P35" i="7"/>
  <c r="O35" i="7"/>
  <c r="O33" i="7"/>
  <c r="P22" i="7"/>
  <c r="P23" i="7"/>
  <c r="O24" i="7"/>
  <c r="F11" i="8"/>
  <c r="A11" i="8"/>
  <c r="A9" i="8"/>
  <c r="I7" i="8"/>
  <c r="F7" i="8"/>
  <c r="C7" i="8"/>
  <c r="A7" i="8"/>
  <c r="A4" i="8"/>
  <c r="C4" i="8"/>
  <c r="G9" i="7"/>
  <c r="F9" i="8" s="1"/>
  <c r="C9" i="7"/>
  <c r="B9" i="8" s="1"/>
  <c r="Q19" i="7" l="1"/>
  <c r="Q20" i="7"/>
  <c r="Q21" i="7"/>
  <c r="O19" i="7"/>
  <c r="O20" i="7"/>
  <c r="O21" i="7"/>
  <c r="P19" i="7"/>
  <c r="P20" i="7"/>
  <c r="P21" i="7"/>
  <c r="P18" i="7"/>
  <c r="O18" i="7"/>
  <c r="Q18" i="7"/>
  <c r="A21" i="8"/>
  <c r="G53" i="7" l="1"/>
  <c r="F21" i="8" s="1"/>
  <c r="I53" i="7"/>
  <c r="H21" i="8" s="1"/>
  <c r="J53" i="7" l="1"/>
  <c r="I21" i="8" s="1"/>
  <c r="AF114" i="2" l="1"/>
  <c r="Z114" i="2"/>
  <c r="D114" i="2"/>
  <c r="C114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4" i="2"/>
  <c r="D54" i="2"/>
  <c r="C55" i="2"/>
  <c r="D55" i="2"/>
  <c r="C58" i="2"/>
  <c r="D58" i="2"/>
  <c r="C59" i="2"/>
  <c r="D59" i="2"/>
  <c r="C60" i="2"/>
  <c r="D60" i="2"/>
  <c r="C61" i="2"/>
  <c r="D61" i="2"/>
  <c r="C63" i="2"/>
  <c r="D63" i="2"/>
  <c r="C64" i="2"/>
  <c r="D64" i="2"/>
  <c r="C65" i="2"/>
  <c r="D65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5" i="2"/>
  <c r="D115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AF422" i="2"/>
  <c r="Z422" i="2"/>
  <c r="AF406" i="2"/>
  <c r="Z406" i="2"/>
  <c r="AF405" i="2"/>
  <c r="Z405" i="2"/>
  <c r="AF417" i="2"/>
  <c r="Z417" i="2"/>
  <c r="AF416" i="2"/>
  <c r="Z416" i="2"/>
  <c r="AF415" i="2"/>
  <c r="Z415" i="2"/>
  <c r="AF414" i="2"/>
  <c r="Z414" i="2"/>
  <c r="AF413" i="2"/>
  <c r="Z413" i="2"/>
  <c r="AF412" i="2"/>
  <c r="Z412" i="2"/>
  <c r="AF411" i="2"/>
  <c r="Z411" i="2"/>
  <c r="AF410" i="2"/>
  <c r="Z410" i="2"/>
  <c r="AF409" i="2"/>
  <c r="Z409" i="2"/>
  <c r="AF408" i="2"/>
  <c r="Z408" i="2"/>
  <c r="AF407" i="2"/>
  <c r="Z407" i="2"/>
  <c r="AF376" i="2"/>
  <c r="Z376" i="2"/>
  <c r="AF231" i="2"/>
  <c r="Z231" i="2"/>
  <c r="AF209" i="2"/>
  <c r="Z209" i="2"/>
  <c r="AF192" i="2"/>
  <c r="Z192" i="2"/>
  <c r="AF55" i="2"/>
  <c r="Z55" i="2"/>
  <c r="AF54" i="2"/>
  <c r="Z54" i="2"/>
  <c r="AF442" i="2"/>
  <c r="Z442" i="2"/>
  <c r="AF12" i="2"/>
  <c r="Z12" i="2"/>
  <c r="AF533" i="2"/>
  <c r="Z533" i="2"/>
  <c r="AF532" i="2"/>
  <c r="Z532" i="2"/>
  <c r="AF534" i="2"/>
  <c r="Z534" i="2"/>
  <c r="AF394" i="2"/>
  <c r="Z394" i="2"/>
  <c r="AF393" i="2"/>
  <c r="Z393" i="2"/>
  <c r="AF242" i="2"/>
  <c r="Z242" i="2"/>
  <c r="AF241" i="2"/>
  <c r="Z241" i="2"/>
  <c r="AF161" i="2"/>
  <c r="Z161" i="2"/>
  <c r="AF138" i="2"/>
  <c r="Z138" i="2"/>
  <c r="AF137" i="2"/>
  <c r="Z137" i="2"/>
  <c r="AF124" i="2"/>
  <c r="Z124" i="2"/>
  <c r="AF112" i="2"/>
  <c r="Z112" i="2"/>
  <c r="AF111" i="2"/>
  <c r="Z111" i="2"/>
  <c r="AF51" i="2"/>
  <c r="Z51" i="2"/>
  <c r="AF11" i="2"/>
  <c r="Z11" i="2"/>
  <c r="AF10" i="2"/>
  <c r="Z10" i="2"/>
  <c r="AH16" i="2"/>
  <c r="AH53" i="2"/>
  <c r="AH56" i="2"/>
  <c r="AH57" i="2"/>
  <c r="AH62" i="2"/>
  <c r="AH66" i="2"/>
  <c r="AH82" i="2"/>
  <c r="AH90" i="2"/>
  <c r="AH91" i="2"/>
  <c r="AH116" i="2"/>
  <c r="AH126" i="2"/>
  <c r="AH141" i="2"/>
  <c r="AH164" i="2"/>
  <c r="AH195" i="2"/>
  <c r="AH214" i="2"/>
  <c r="AH234" i="2"/>
  <c r="AH246" i="2"/>
  <c r="AH247" i="2"/>
  <c r="AH379" i="2"/>
  <c r="AH403" i="2"/>
  <c r="AH431" i="2"/>
  <c r="AH444" i="2"/>
  <c r="AH445" i="2"/>
  <c r="AH446" i="2"/>
  <c r="AH447" i="2"/>
  <c r="AH448" i="2"/>
  <c r="AH449" i="2"/>
  <c r="AH484" i="2"/>
  <c r="AI16" i="2"/>
  <c r="AJ16" i="2"/>
  <c r="AI53" i="2"/>
  <c r="AJ53" i="2"/>
  <c r="AI56" i="2"/>
  <c r="AJ56" i="2"/>
  <c r="AI57" i="2"/>
  <c r="AJ57" i="2"/>
  <c r="AI62" i="2"/>
  <c r="AJ62" i="2"/>
  <c r="AI66" i="2"/>
  <c r="AJ66" i="2"/>
  <c r="AI82" i="2"/>
  <c r="AJ82" i="2"/>
  <c r="AI90" i="2"/>
  <c r="AJ90" i="2"/>
  <c r="AI91" i="2"/>
  <c r="AJ91" i="2"/>
  <c r="AI116" i="2"/>
  <c r="AJ116" i="2"/>
  <c r="AI126" i="2"/>
  <c r="AJ126" i="2"/>
  <c r="AI141" i="2"/>
  <c r="AJ141" i="2"/>
  <c r="AI164" i="2"/>
  <c r="AJ164" i="2"/>
  <c r="AI195" i="2"/>
  <c r="AJ195" i="2"/>
  <c r="AI214" i="2"/>
  <c r="AJ214" i="2"/>
  <c r="AI234" i="2"/>
  <c r="AJ234" i="2"/>
  <c r="AI246" i="2"/>
  <c r="AJ246" i="2"/>
  <c r="AI247" i="2"/>
  <c r="AJ247" i="2"/>
  <c r="AI379" i="2"/>
  <c r="AJ379" i="2"/>
  <c r="AI403" i="2"/>
  <c r="AJ403" i="2"/>
  <c r="AI431" i="2"/>
  <c r="AJ431" i="2"/>
  <c r="AI444" i="2"/>
  <c r="AJ444" i="2"/>
  <c r="AI445" i="2"/>
  <c r="AJ445" i="2"/>
  <c r="AI446" i="2"/>
  <c r="AJ446" i="2"/>
  <c r="AI447" i="2"/>
  <c r="AJ447" i="2"/>
  <c r="AI448" i="2"/>
  <c r="AJ448" i="2"/>
  <c r="AI449" i="2"/>
  <c r="AJ449" i="2"/>
  <c r="AI484" i="2"/>
  <c r="AJ484" i="2"/>
  <c r="AF535" i="2" l="1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3" i="2"/>
  <c r="AF441" i="2"/>
  <c r="AF440" i="2"/>
  <c r="AF439" i="2"/>
  <c r="AF438" i="2"/>
  <c r="AF437" i="2"/>
  <c r="AF436" i="2"/>
  <c r="AF435" i="2"/>
  <c r="AF434" i="2"/>
  <c r="AF433" i="2"/>
  <c r="AF432" i="2"/>
  <c r="AF430" i="2"/>
  <c r="AF429" i="2"/>
  <c r="AF428" i="2"/>
  <c r="AF427" i="2"/>
  <c r="AF426" i="2"/>
  <c r="AF425" i="2"/>
  <c r="AF424" i="2"/>
  <c r="AF423" i="2"/>
  <c r="AF421" i="2"/>
  <c r="AF420" i="2"/>
  <c r="AF419" i="2"/>
  <c r="AF418" i="2"/>
  <c r="AF404" i="2"/>
  <c r="AF402" i="2"/>
  <c r="AF401" i="2"/>
  <c r="AF400" i="2"/>
  <c r="AF399" i="2"/>
  <c r="AF398" i="2"/>
  <c r="AF397" i="2"/>
  <c r="AF396" i="2"/>
  <c r="AF395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8" i="2"/>
  <c r="AF377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5" i="2"/>
  <c r="AF244" i="2"/>
  <c r="AF243" i="2"/>
  <c r="AF240" i="2"/>
  <c r="AF239" i="2"/>
  <c r="AF238" i="2"/>
  <c r="AF237" i="2"/>
  <c r="AF236" i="2"/>
  <c r="AF235" i="2"/>
  <c r="AF233" i="2"/>
  <c r="AF232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3" i="2"/>
  <c r="AF212" i="2"/>
  <c r="AF211" i="2"/>
  <c r="AF210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4" i="2"/>
  <c r="AF193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3" i="2"/>
  <c r="AF162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0" i="2"/>
  <c r="AF139" i="2"/>
  <c r="AF136" i="2"/>
  <c r="AF135" i="2"/>
  <c r="AF134" i="2"/>
  <c r="AF133" i="2"/>
  <c r="AF132" i="2"/>
  <c r="AF131" i="2"/>
  <c r="AF130" i="2"/>
  <c r="AF129" i="2"/>
  <c r="AF128" i="2"/>
  <c r="AF127" i="2"/>
  <c r="AF125" i="2"/>
  <c r="AF123" i="2"/>
  <c r="AF122" i="2"/>
  <c r="AF121" i="2"/>
  <c r="AF120" i="2"/>
  <c r="AF119" i="2"/>
  <c r="AF118" i="2"/>
  <c r="AF117" i="2"/>
  <c r="AF115" i="2"/>
  <c r="AF113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89" i="2"/>
  <c r="AF88" i="2"/>
  <c r="AF87" i="2"/>
  <c r="AF86" i="2"/>
  <c r="AF85" i="2"/>
  <c r="AF84" i="2"/>
  <c r="AF83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5" i="2"/>
  <c r="AF64" i="2"/>
  <c r="AF63" i="2"/>
  <c r="AF61" i="2"/>
  <c r="AF60" i="2"/>
  <c r="AF59" i="2"/>
  <c r="AF58" i="2"/>
  <c r="AF52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4" i="2"/>
  <c r="AF13" i="2"/>
  <c r="AF9" i="2"/>
  <c r="Z535" i="2"/>
  <c r="Z191" i="2"/>
  <c r="Z481" i="2"/>
  <c r="Z480" i="2"/>
  <c r="Z232" i="2"/>
  <c r="Z212" i="2"/>
  <c r="Z176" i="2"/>
  <c r="Z175" i="2"/>
  <c r="Z174" i="2"/>
  <c r="Z173" i="2"/>
  <c r="Z172" i="2"/>
  <c r="Z171" i="2"/>
  <c r="Z170" i="2"/>
  <c r="Z169" i="2"/>
  <c r="Z184" i="2"/>
  <c r="Z183" i="2"/>
  <c r="Z182" i="2"/>
  <c r="Z181" i="2"/>
  <c r="Z180" i="2"/>
  <c r="Z179" i="2"/>
  <c r="Z178" i="2"/>
  <c r="Z177" i="2"/>
  <c r="Z160" i="2"/>
  <c r="Z159" i="2"/>
  <c r="Z162" i="2"/>
  <c r="Z163" i="2"/>
  <c r="Z139" i="2"/>
  <c r="Z113" i="2"/>
  <c r="Z78" i="2"/>
  <c r="Z77" i="2"/>
  <c r="Z76" i="2"/>
  <c r="Z46" i="2"/>
  <c r="Z45" i="2"/>
  <c r="Z44" i="2"/>
  <c r="Z43" i="2"/>
  <c r="Z42" i="2"/>
  <c r="Z529" i="2" l="1"/>
  <c r="Z530" i="2"/>
  <c r="Z531" i="2"/>
  <c r="C21" i="3" l="1"/>
  <c r="E12" i="2" l="1"/>
  <c r="E18" i="2"/>
  <c r="E23" i="2"/>
  <c r="E28" i="2"/>
  <c r="E33" i="2"/>
  <c r="E38" i="2"/>
  <c r="AH38" i="2" s="1"/>
  <c r="E43" i="2"/>
  <c r="E48" i="2"/>
  <c r="AH48" i="2" s="1"/>
  <c r="E54" i="2"/>
  <c r="E61" i="2"/>
  <c r="E68" i="2"/>
  <c r="E73" i="2"/>
  <c r="E78" i="2"/>
  <c r="E84" i="2"/>
  <c r="E89" i="2"/>
  <c r="E96" i="2"/>
  <c r="E101" i="2"/>
  <c r="E106" i="2"/>
  <c r="E111" i="2"/>
  <c r="E118" i="2"/>
  <c r="E123" i="2"/>
  <c r="E129" i="2"/>
  <c r="E134" i="2"/>
  <c r="E139" i="2"/>
  <c r="E145" i="2"/>
  <c r="E150" i="2"/>
  <c r="E155" i="2"/>
  <c r="E160" i="2"/>
  <c r="E166" i="2"/>
  <c r="E171" i="2"/>
  <c r="E176" i="2"/>
  <c r="E181" i="2"/>
  <c r="E186" i="2"/>
  <c r="E191" i="2"/>
  <c r="E197" i="2"/>
  <c r="E202" i="2"/>
  <c r="E207" i="2"/>
  <c r="E212" i="2"/>
  <c r="E218" i="2"/>
  <c r="E223" i="2"/>
  <c r="E228" i="2"/>
  <c r="E233" i="2"/>
  <c r="E239" i="2"/>
  <c r="E244" i="2"/>
  <c r="E251" i="2"/>
  <c r="E256" i="2"/>
  <c r="E261" i="2"/>
  <c r="E266" i="2"/>
  <c r="E271" i="2"/>
  <c r="E276" i="2"/>
  <c r="E281" i="2"/>
  <c r="E286" i="2"/>
  <c r="E291" i="2"/>
  <c r="E296" i="2"/>
  <c r="E301" i="2"/>
  <c r="E306" i="2"/>
  <c r="E311" i="2"/>
  <c r="E316" i="2"/>
  <c r="E321" i="2"/>
  <c r="E326" i="2"/>
  <c r="E331" i="2"/>
  <c r="E336" i="2"/>
  <c r="E341" i="2"/>
  <c r="E346" i="2"/>
  <c r="E351" i="2"/>
  <c r="E356" i="2"/>
  <c r="E361" i="2"/>
  <c r="E366" i="2"/>
  <c r="E371" i="2"/>
  <c r="E376" i="2"/>
  <c r="E382" i="2"/>
  <c r="E387" i="2"/>
  <c r="E392" i="2"/>
  <c r="E397" i="2"/>
  <c r="E402" i="2"/>
  <c r="E408" i="2"/>
  <c r="E413" i="2"/>
  <c r="E418" i="2"/>
  <c r="E423" i="2"/>
  <c r="E428" i="2"/>
  <c r="E434" i="2"/>
  <c r="E439" i="2"/>
  <c r="E450" i="2"/>
  <c r="E455" i="2"/>
  <c r="E460" i="2"/>
  <c r="F114" i="2"/>
  <c r="E114" i="2"/>
  <c r="E13" i="2"/>
  <c r="E19" i="2"/>
  <c r="AH19" i="2" s="1"/>
  <c r="E24" i="2"/>
  <c r="AH24" i="2" s="1"/>
  <c r="E29" i="2"/>
  <c r="AH29" i="2" s="1"/>
  <c r="E34" i="2"/>
  <c r="AH34" i="2" s="1"/>
  <c r="E39" i="2"/>
  <c r="AH39" i="2" s="1"/>
  <c r="E44" i="2"/>
  <c r="E49" i="2"/>
  <c r="AH49" i="2" s="1"/>
  <c r="E55" i="2"/>
  <c r="E63" i="2"/>
  <c r="E69" i="2"/>
  <c r="E74" i="2"/>
  <c r="E79" i="2"/>
  <c r="E85" i="2"/>
  <c r="E92" i="2"/>
  <c r="E97" i="2"/>
  <c r="E102" i="2"/>
  <c r="E107" i="2"/>
  <c r="E112" i="2"/>
  <c r="E119" i="2"/>
  <c r="E124" i="2"/>
  <c r="E130" i="2"/>
  <c r="E135" i="2"/>
  <c r="E140" i="2"/>
  <c r="E146" i="2"/>
  <c r="E151" i="2"/>
  <c r="E156" i="2"/>
  <c r="E161" i="2"/>
  <c r="E167" i="2"/>
  <c r="E172" i="2"/>
  <c r="E177" i="2"/>
  <c r="E182" i="2"/>
  <c r="E187" i="2"/>
  <c r="E192" i="2"/>
  <c r="E198" i="2"/>
  <c r="F13" i="2"/>
  <c r="F19" i="2"/>
  <c r="AI19" i="2" s="1"/>
  <c r="F24" i="2"/>
  <c r="AI24" i="2" s="1"/>
  <c r="F29" i="2"/>
  <c r="AI29" i="2" s="1"/>
  <c r="F34" i="2"/>
  <c r="F39" i="2"/>
  <c r="AI39" i="2" s="1"/>
  <c r="F44" i="2"/>
  <c r="F49" i="2"/>
  <c r="AI49" i="2" s="1"/>
  <c r="F55" i="2"/>
  <c r="F63" i="2"/>
  <c r="F69" i="2"/>
  <c r="F74" i="2"/>
  <c r="F79" i="2"/>
  <c r="F85" i="2"/>
  <c r="F92" i="2"/>
  <c r="F97" i="2"/>
  <c r="F102" i="2"/>
  <c r="F107" i="2"/>
  <c r="F112" i="2"/>
  <c r="F119" i="2"/>
  <c r="F124" i="2"/>
  <c r="F130" i="2"/>
  <c r="F135" i="2"/>
  <c r="F140" i="2"/>
  <c r="F146" i="2"/>
  <c r="F151" i="2"/>
  <c r="F156" i="2"/>
  <c r="F161" i="2"/>
  <c r="F167" i="2"/>
  <c r="F172" i="2"/>
  <c r="F177" i="2"/>
  <c r="F182" i="2"/>
  <c r="F187" i="2"/>
  <c r="F192" i="2"/>
  <c r="F198" i="2"/>
  <c r="F203" i="2"/>
  <c r="F208" i="2"/>
  <c r="F213" i="2"/>
  <c r="F219" i="2"/>
  <c r="F224" i="2"/>
  <c r="F229" i="2"/>
  <c r="F235" i="2"/>
  <c r="F240" i="2"/>
  <c r="F245" i="2"/>
  <c r="E10" i="2"/>
  <c r="E15" i="2"/>
  <c r="E21" i="2"/>
  <c r="AH21" i="2" s="1"/>
  <c r="E26" i="2"/>
  <c r="AH26" i="2" s="1"/>
  <c r="E31" i="2"/>
  <c r="AH31" i="2" s="1"/>
  <c r="E36" i="2"/>
  <c r="AH36" i="2" s="1"/>
  <c r="E41" i="2"/>
  <c r="AH41" i="2" s="1"/>
  <c r="E46" i="2"/>
  <c r="E51" i="2"/>
  <c r="E59" i="2"/>
  <c r="E65" i="2"/>
  <c r="E71" i="2"/>
  <c r="E76" i="2"/>
  <c r="E81" i="2"/>
  <c r="E87" i="2"/>
  <c r="E94" i="2"/>
  <c r="E99" i="2"/>
  <c r="E104" i="2"/>
  <c r="E109" i="2"/>
  <c r="E115" i="2"/>
  <c r="E121" i="2"/>
  <c r="E127" i="2"/>
  <c r="E132" i="2"/>
  <c r="E137" i="2"/>
  <c r="E143" i="2"/>
  <c r="E148" i="2"/>
  <c r="E153" i="2"/>
  <c r="E158" i="2"/>
  <c r="E163" i="2"/>
  <c r="E169" i="2"/>
  <c r="E174" i="2"/>
  <c r="E179" i="2"/>
  <c r="E184" i="2"/>
  <c r="E189" i="2"/>
  <c r="E194" i="2"/>
  <c r="E200" i="2"/>
  <c r="E205" i="2"/>
  <c r="E210" i="2"/>
  <c r="E216" i="2"/>
  <c r="E221" i="2"/>
  <c r="E226" i="2"/>
  <c r="E231" i="2"/>
  <c r="E237" i="2"/>
  <c r="E242" i="2"/>
  <c r="E249" i="2"/>
  <c r="E254" i="2"/>
  <c r="E259" i="2"/>
  <c r="E264" i="2"/>
  <c r="E269" i="2"/>
  <c r="E274" i="2"/>
  <c r="E279" i="2"/>
  <c r="E284" i="2"/>
  <c r="E289" i="2"/>
  <c r="E294" i="2"/>
  <c r="E299" i="2"/>
  <c r="E304" i="2"/>
  <c r="E309" i="2"/>
  <c r="E314" i="2"/>
  <c r="E319" i="2"/>
  <c r="E324" i="2"/>
  <c r="E329" i="2"/>
  <c r="E334" i="2"/>
  <c r="E339" i="2"/>
  <c r="E344" i="2"/>
  <c r="E349" i="2"/>
  <c r="E354" i="2"/>
  <c r="E359" i="2"/>
  <c r="E364" i="2"/>
  <c r="E369" i="2"/>
  <c r="E374" i="2"/>
  <c r="E380" i="2"/>
  <c r="E385" i="2"/>
  <c r="E390" i="2"/>
  <c r="E395" i="2"/>
  <c r="E400" i="2"/>
  <c r="E203" i="2"/>
  <c r="E209" i="2"/>
  <c r="F248" i="2"/>
  <c r="E265" i="2"/>
  <c r="F276" i="2"/>
  <c r="F287" i="2"/>
  <c r="F298" i="2"/>
  <c r="E315" i="2"/>
  <c r="F326" i="2"/>
  <c r="F337" i="2"/>
  <c r="F348" i="2"/>
  <c r="E365" i="2"/>
  <c r="F376" i="2"/>
  <c r="F388" i="2"/>
  <c r="F399" i="2"/>
  <c r="E411" i="2"/>
  <c r="F416" i="2"/>
  <c r="E433" i="2"/>
  <c r="F438" i="2"/>
  <c r="F460" i="2"/>
  <c r="F465" i="2"/>
  <c r="F470" i="2"/>
  <c r="F475" i="2"/>
  <c r="F480" i="2"/>
  <c r="F486" i="2"/>
  <c r="F491" i="2"/>
  <c r="F496" i="2"/>
  <c r="F501" i="2"/>
  <c r="F506" i="2"/>
  <c r="F511" i="2"/>
  <c r="F516" i="2"/>
  <c r="F521" i="2"/>
  <c r="F526" i="2"/>
  <c r="AI526" i="2" s="1"/>
  <c r="F531" i="2"/>
  <c r="F33" i="2"/>
  <c r="AI33" i="2" s="1"/>
  <c r="E52" i="2"/>
  <c r="AH52" i="2" s="1"/>
  <c r="F61" i="2"/>
  <c r="E83" i="2"/>
  <c r="F89" i="2"/>
  <c r="E110" i="2"/>
  <c r="F118" i="2"/>
  <c r="E138" i="2"/>
  <c r="F145" i="2"/>
  <c r="E165" i="2"/>
  <c r="F171" i="2"/>
  <c r="E190" i="2"/>
  <c r="F197" i="2"/>
  <c r="F209" i="2"/>
  <c r="F216" i="2"/>
  <c r="E222" i="2"/>
  <c r="F254" i="2"/>
  <c r="F265" i="2"/>
  <c r="E282" i="2"/>
  <c r="E293" i="2"/>
  <c r="F304" i="2"/>
  <c r="F315" i="2"/>
  <c r="E332" i="2"/>
  <c r="E343" i="2"/>
  <c r="F354" i="2"/>
  <c r="F365" i="2"/>
  <c r="E383" i="2"/>
  <c r="E394" i="2"/>
  <c r="E406" i="2"/>
  <c r="F411" i="2"/>
  <c r="E427" i="2"/>
  <c r="F433" i="2"/>
  <c r="F455" i="2"/>
  <c r="F190" i="2"/>
  <c r="F222" i="2"/>
  <c r="F228" i="2"/>
  <c r="E235" i="2"/>
  <c r="E241" i="2"/>
  <c r="E260" i="2"/>
  <c r="F271" i="2"/>
  <c r="F282" i="2"/>
  <c r="F293" i="2"/>
  <c r="E310" i="2"/>
  <c r="F321" i="2"/>
  <c r="F332" i="2"/>
  <c r="E360" i="2"/>
  <c r="F371" i="2"/>
  <c r="F383" i="2"/>
  <c r="F394" i="2"/>
  <c r="F406" i="2"/>
  <c r="E422" i="2"/>
  <c r="F427" i="2"/>
  <c r="F450" i="2"/>
  <c r="E27" i="2"/>
  <c r="AH27" i="2" s="1"/>
  <c r="E14" i="2"/>
  <c r="F21" i="2"/>
  <c r="AI21" i="2" s="1"/>
  <c r="F27" i="2"/>
  <c r="AI27" i="2" s="1"/>
  <c r="E40" i="2"/>
  <c r="AH40" i="2" s="1"/>
  <c r="F46" i="2"/>
  <c r="F52" i="2"/>
  <c r="AI52" i="2" s="1"/>
  <c r="E70" i="2"/>
  <c r="F76" i="2"/>
  <c r="F83" i="2"/>
  <c r="E98" i="2"/>
  <c r="F104" i="2"/>
  <c r="F110" i="2"/>
  <c r="E125" i="2"/>
  <c r="F132" i="2"/>
  <c r="F138" i="2"/>
  <c r="E152" i="2"/>
  <c r="F158" i="2"/>
  <c r="F165" i="2"/>
  <c r="E178" i="2"/>
  <c r="F184" i="2"/>
  <c r="F343" i="2"/>
  <c r="F14" i="2"/>
  <c r="F40" i="2"/>
  <c r="AI40" i="2" s="1"/>
  <c r="F70" i="2"/>
  <c r="F98" i="2"/>
  <c r="F125" i="2"/>
  <c r="F152" i="2"/>
  <c r="F178" i="2"/>
  <c r="E204" i="2"/>
  <c r="F241" i="2"/>
  <c r="F249" i="2"/>
  <c r="F260" i="2"/>
  <c r="E277" i="2"/>
  <c r="E288" i="2"/>
  <c r="F299" i="2"/>
  <c r="F310" i="2"/>
  <c r="E327" i="2"/>
  <c r="E338" i="2"/>
  <c r="F349" i="2"/>
  <c r="F360" i="2"/>
  <c r="E377" i="2"/>
  <c r="E389" i="2"/>
  <c r="F400" i="2"/>
  <c r="E417" i="2"/>
  <c r="F422" i="2"/>
  <c r="F439" i="2"/>
  <c r="E461" i="2"/>
  <c r="E466" i="2"/>
  <c r="E471" i="2"/>
  <c r="E476" i="2"/>
  <c r="E481" i="2"/>
  <c r="E487" i="2"/>
  <c r="E492" i="2"/>
  <c r="E497" i="2"/>
  <c r="E502" i="2"/>
  <c r="E507" i="2"/>
  <c r="E512" i="2"/>
  <c r="E517" i="2"/>
  <c r="E522" i="2"/>
  <c r="E527" i="2"/>
  <c r="E532" i="2"/>
  <c r="F204" i="2"/>
  <c r="F210" i="2"/>
  <c r="E217" i="2"/>
  <c r="E255" i="2"/>
  <c r="F266" i="2"/>
  <c r="F277" i="2"/>
  <c r="F288" i="2"/>
  <c r="E305" i="2"/>
  <c r="F316" i="2"/>
  <c r="F327" i="2"/>
  <c r="F338" i="2"/>
  <c r="E355" i="2"/>
  <c r="F366" i="2"/>
  <c r="F377" i="2"/>
  <c r="F389" i="2"/>
  <c r="E412" i="2"/>
  <c r="F417" i="2"/>
  <c r="F434" i="2"/>
  <c r="E456" i="2"/>
  <c r="F461" i="2"/>
  <c r="F466" i="2"/>
  <c r="F471" i="2"/>
  <c r="F476" i="2"/>
  <c r="F481" i="2"/>
  <c r="F487" i="2"/>
  <c r="F492" i="2"/>
  <c r="F497" i="2"/>
  <c r="F502" i="2"/>
  <c r="F507" i="2"/>
  <c r="F512" i="2"/>
  <c r="F517" i="2"/>
  <c r="F522" i="2"/>
  <c r="F527" i="2"/>
  <c r="F532" i="2"/>
  <c r="E22" i="2"/>
  <c r="AH22" i="2" s="1"/>
  <c r="F28" i="2"/>
  <c r="E47" i="2"/>
  <c r="AH47" i="2" s="1"/>
  <c r="F54" i="2"/>
  <c r="E77" i="2"/>
  <c r="F84" i="2"/>
  <c r="E105" i="2"/>
  <c r="F111" i="2"/>
  <c r="E133" i="2"/>
  <c r="F139" i="2"/>
  <c r="E159" i="2"/>
  <c r="E9" i="2"/>
  <c r="F15" i="2"/>
  <c r="F22" i="2"/>
  <c r="AI22" i="2" s="1"/>
  <c r="E35" i="2"/>
  <c r="AH35" i="2" s="1"/>
  <c r="F41" i="2"/>
  <c r="AI41" i="2" s="1"/>
  <c r="F47" i="2"/>
  <c r="E64" i="2"/>
  <c r="F71" i="2"/>
  <c r="F77" i="2"/>
  <c r="E93" i="2"/>
  <c r="F99" i="2"/>
  <c r="F105" i="2"/>
  <c r="E120" i="2"/>
  <c r="F127" i="2"/>
  <c r="F133" i="2"/>
  <c r="E147" i="2"/>
  <c r="F153" i="2"/>
  <c r="F159" i="2"/>
  <c r="E173" i="2"/>
  <c r="F179" i="2"/>
  <c r="F185" i="2"/>
  <c r="E199" i="2"/>
  <c r="F236" i="2"/>
  <c r="F242" i="2"/>
  <c r="E250" i="2"/>
  <c r="F261" i="2"/>
  <c r="F272" i="2"/>
  <c r="F283" i="2"/>
  <c r="E300" i="2"/>
  <c r="F311" i="2"/>
  <c r="F322" i="2"/>
  <c r="F333" i="2"/>
  <c r="E350" i="2"/>
  <c r="F361" i="2"/>
  <c r="F372" i="2"/>
  <c r="F384" i="2"/>
  <c r="E401" i="2"/>
  <c r="F407" i="2"/>
  <c r="F423" i="2"/>
  <c r="E440" i="2"/>
  <c r="F451" i="2"/>
  <c r="F9" i="2"/>
  <c r="F35" i="2"/>
  <c r="AI35" i="2" s="1"/>
  <c r="F64" i="2"/>
  <c r="F93" i="2"/>
  <c r="F120" i="2"/>
  <c r="F147" i="2"/>
  <c r="F173" i="2"/>
  <c r="F199" i="2"/>
  <c r="F205" i="2"/>
  <c r="E211" i="2"/>
  <c r="F250" i="2"/>
  <c r="E267" i="2"/>
  <c r="E278" i="2"/>
  <c r="F289" i="2"/>
  <c r="F300" i="2"/>
  <c r="E317" i="2"/>
  <c r="E328" i="2"/>
  <c r="F339" i="2"/>
  <c r="F350" i="2"/>
  <c r="E367" i="2"/>
  <c r="E378" i="2"/>
  <c r="F390" i="2"/>
  <c r="F401" i="2"/>
  <c r="F418" i="2"/>
  <c r="E435" i="2"/>
  <c r="F440" i="2"/>
  <c r="E462" i="2"/>
  <c r="E467" i="2"/>
  <c r="E472" i="2"/>
  <c r="E477" i="2"/>
  <c r="E482" i="2"/>
  <c r="E488" i="2"/>
  <c r="E493" i="2"/>
  <c r="E498" i="2"/>
  <c r="E503" i="2"/>
  <c r="E508" i="2"/>
  <c r="E513" i="2"/>
  <c r="E518" i="2"/>
  <c r="E523" i="2"/>
  <c r="E528" i="2"/>
  <c r="E533" i="2"/>
  <c r="F30" i="2"/>
  <c r="AI30" i="2" s="1"/>
  <c r="F37" i="2"/>
  <c r="AI37" i="2" s="1"/>
  <c r="E72" i="2"/>
  <c r="F121" i="2"/>
  <c r="F129" i="2"/>
  <c r="E168" i="2"/>
  <c r="E175" i="2"/>
  <c r="F189" i="2"/>
  <c r="F212" i="2"/>
  <c r="F226" i="2"/>
  <c r="F232" i="2"/>
  <c r="F262" i="2"/>
  <c r="E275" i="2"/>
  <c r="F295" i="2"/>
  <c r="E302" i="2"/>
  <c r="E308" i="2"/>
  <c r="F328" i="2"/>
  <c r="E388" i="2"/>
  <c r="F395" i="2"/>
  <c r="E409" i="2"/>
  <c r="E415" i="2"/>
  <c r="F421" i="2"/>
  <c r="F435" i="2"/>
  <c r="F453" i="2"/>
  <c r="E459" i="2"/>
  <c r="F472" i="2"/>
  <c r="F478" i="2"/>
  <c r="F485" i="2"/>
  <c r="F498" i="2"/>
  <c r="F504" i="2"/>
  <c r="F510" i="2"/>
  <c r="F523" i="2"/>
  <c r="F529" i="2"/>
  <c r="F535" i="2"/>
  <c r="F308" i="2"/>
  <c r="E335" i="2"/>
  <c r="E368" i="2"/>
  <c r="F374" i="2"/>
  <c r="F402" i="2"/>
  <c r="F415" i="2"/>
  <c r="F428" i="2"/>
  <c r="F459" i="2"/>
  <c r="E442" i="2"/>
  <c r="E530" i="2"/>
  <c r="F65" i="2"/>
  <c r="F73" i="2"/>
  <c r="F113" i="2"/>
  <c r="F122" i="2"/>
  <c r="E154" i="2"/>
  <c r="F169" i="2"/>
  <c r="F176" i="2"/>
  <c r="F206" i="2"/>
  <c r="F227" i="2"/>
  <c r="E257" i="2"/>
  <c r="E270" i="2"/>
  <c r="F290" i="2"/>
  <c r="E303" i="2"/>
  <c r="F309" i="2"/>
  <c r="F362" i="2"/>
  <c r="E375" i="2"/>
  <c r="F396" i="2"/>
  <c r="E404" i="2"/>
  <c r="E410" i="2"/>
  <c r="F436" i="2"/>
  <c r="F454" i="2"/>
  <c r="F467" i="2"/>
  <c r="F473" i="2"/>
  <c r="F479" i="2"/>
  <c r="F493" i="2"/>
  <c r="F499" i="2"/>
  <c r="F505" i="2"/>
  <c r="F518" i="2"/>
  <c r="F524" i="2"/>
  <c r="F530" i="2"/>
  <c r="F106" i="2"/>
  <c r="E131" i="2"/>
  <c r="F154" i="2"/>
  <c r="F191" i="2"/>
  <c r="F221" i="2"/>
  <c r="F251" i="2"/>
  <c r="F257" i="2"/>
  <c r="F270" i="2"/>
  <c r="F303" i="2"/>
  <c r="E323" i="2"/>
  <c r="F336" i="2"/>
  <c r="F356" i="2"/>
  <c r="F369" i="2"/>
  <c r="F375" i="2"/>
  <c r="F404" i="2"/>
  <c r="F429" i="2"/>
  <c r="F23" i="2"/>
  <c r="AI23" i="2" s="1"/>
  <c r="E45" i="2"/>
  <c r="F72" i="2"/>
  <c r="F160" i="2"/>
  <c r="F168" i="2"/>
  <c r="F175" i="2"/>
  <c r="E220" i="2"/>
  <c r="E240" i="2"/>
  <c r="F256" i="2"/>
  <c r="F269" i="2"/>
  <c r="F275" i="2"/>
  <c r="F302" i="2"/>
  <c r="F409" i="2"/>
  <c r="F410" i="2"/>
  <c r="F45" i="2"/>
  <c r="E80" i="2"/>
  <c r="E88" i="2"/>
  <c r="F137" i="2"/>
  <c r="E183" i="2"/>
  <c r="F220" i="2"/>
  <c r="E322" i="2"/>
  <c r="F335" i="2"/>
  <c r="E342" i="2"/>
  <c r="E348" i="2"/>
  <c r="F355" i="2"/>
  <c r="F368" i="2"/>
  <c r="F382" i="2"/>
  <c r="E17" i="2"/>
  <c r="E429" i="2"/>
  <c r="F31" i="2"/>
  <c r="AI31" i="2" s="1"/>
  <c r="F38" i="2"/>
  <c r="AI38" i="2" s="1"/>
  <c r="F80" i="2"/>
  <c r="F88" i="2"/>
  <c r="E113" i="2"/>
  <c r="E122" i="2"/>
  <c r="F183" i="2"/>
  <c r="E206" i="2"/>
  <c r="E213" i="2"/>
  <c r="E227" i="2"/>
  <c r="F233" i="2"/>
  <c r="E263" i="2"/>
  <c r="E283" i="2"/>
  <c r="E290" i="2"/>
  <c r="F296" i="2"/>
  <c r="F329" i="2"/>
  <c r="F342" i="2"/>
  <c r="E362" i="2"/>
  <c r="E396" i="2"/>
  <c r="E436" i="2"/>
  <c r="F442" i="2"/>
  <c r="E454" i="2"/>
  <c r="E473" i="2"/>
  <c r="E479" i="2"/>
  <c r="E486" i="2"/>
  <c r="E499" i="2"/>
  <c r="E505" i="2"/>
  <c r="E511" i="2"/>
  <c r="E524" i="2"/>
  <c r="F263" i="2"/>
  <c r="E416" i="2"/>
  <c r="F17" i="2"/>
  <c r="E25" i="2"/>
  <c r="AH25" i="2" s="1"/>
  <c r="E32" i="2"/>
  <c r="AH32" i="2" s="1"/>
  <c r="F81" i="2"/>
  <c r="F131" i="2"/>
  <c r="E162" i="2"/>
  <c r="E215" i="2"/>
  <c r="F284" i="2"/>
  <c r="E297" i="2"/>
  <c r="F317" i="2"/>
  <c r="F323" i="2"/>
  <c r="E330" i="2"/>
  <c r="E443" i="2"/>
  <c r="F25" i="2"/>
  <c r="F32" i="2"/>
  <c r="E58" i="2"/>
  <c r="E67" i="2"/>
  <c r="F115" i="2"/>
  <c r="F123" i="2"/>
  <c r="F162" i="2"/>
  <c r="E170" i="2"/>
  <c r="F200" i="2"/>
  <c r="F207" i="2"/>
  <c r="F215" i="2"/>
  <c r="F264" i="2"/>
  <c r="F291" i="2"/>
  <c r="F297" i="2"/>
  <c r="F330" i="2"/>
  <c r="E363" i="2"/>
  <c r="E384" i="2"/>
  <c r="E391" i="2"/>
  <c r="F397" i="2"/>
  <c r="E424" i="2"/>
  <c r="E437" i="2"/>
  <c r="F443" i="2"/>
  <c r="E468" i="2"/>
  <c r="E474" i="2"/>
  <c r="E480" i="2"/>
  <c r="E494" i="2"/>
  <c r="E500" i="2"/>
  <c r="E506" i="2"/>
  <c r="E519" i="2"/>
  <c r="E525" i="2"/>
  <c r="AH525" i="2" s="1"/>
  <c r="E531" i="2"/>
  <c r="F10" i="2"/>
  <c r="F18" i="2"/>
  <c r="F58" i="2"/>
  <c r="F67" i="2"/>
  <c r="E100" i="2"/>
  <c r="F148" i="2"/>
  <c r="F155" i="2"/>
  <c r="F170" i="2"/>
  <c r="E185" i="2"/>
  <c r="E236" i="2"/>
  <c r="E243" i="2"/>
  <c r="E252" i="2"/>
  <c r="E258" i="2"/>
  <c r="F278" i="2"/>
  <c r="E337" i="2"/>
  <c r="F344" i="2"/>
  <c r="E357" i="2"/>
  <c r="F363" i="2"/>
  <c r="E370" i="2"/>
  <c r="F391" i="2"/>
  <c r="E405" i="2"/>
  <c r="F424" i="2"/>
  <c r="E430" i="2"/>
  <c r="F437" i="2"/>
  <c r="F462" i="2"/>
  <c r="F468" i="2"/>
  <c r="F474" i="2"/>
  <c r="F488" i="2"/>
  <c r="F494" i="2"/>
  <c r="F500" i="2"/>
  <c r="F513" i="2"/>
  <c r="F519" i="2"/>
  <c r="F525" i="2"/>
  <c r="F48" i="2"/>
  <c r="E75" i="2"/>
  <c r="F100" i="2"/>
  <c r="F243" i="2"/>
  <c r="F252" i="2"/>
  <c r="F258" i="2"/>
  <c r="E285" i="2"/>
  <c r="E318" i="2"/>
  <c r="F324" i="2"/>
  <c r="F26" i="2"/>
  <c r="AI26" i="2" s="1"/>
  <c r="F75" i="2"/>
  <c r="E108" i="2"/>
  <c r="E117" i="2"/>
  <c r="F163" i="2"/>
  <c r="E193" i="2"/>
  <c r="E201" i="2"/>
  <c r="E208" i="2"/>
  <c r="F223" i="2"/>
  <c r="E272" i="2"/>
  <c r="F285" i="2"/>
  <c r="E292" i="2"/>
  <c r="E298" i="2"/>
  <c r="F305" i="2"/>
  <c r="F318" i="2"/>
  <c r="F331" i="2"/>
  <c r="F385" i="2"/>
  <c r="E398" i="2"/>
  <c r="F412" i="2"/>
  <c r="E11" i="2"/>
  <c r="F59" i="2"/>
  <c r="F68" i="2"/>
  <c r="F108" i="2"/>
  <c r="F117" i="2"/>
  <c r="E142" i="2"/>
  <c r="E149" i="2"/>
  <c r="F186" i="2"/>
  <c r="F193" i="2"/>
  <c r="F201" i="2"/>
  <c r="F237" i="2"/>
  <c r="F279" i="2"/>
  <c r="F292" i="2"/>
  <c r="E312" i="2"/>
  <c r="E345" i="2"/>
  <c r="F364" i="2"/>
  <c r="F392" i="2"/>
  <c r="F398" i="2"/>
  <c r="E419" i="2"/>
  <c r="E425" i="2"/>
  <c r="E438" i="2"/>
  <c r="E463" i="2"/>
  <c r="E469" i="2"/>
  <c r="E475" i="2"/>
  <c r="E489" i="2"/>
  <c r="E495" i="2"/>
  <c r="E501" i="2"/>
  <c r="E514" i="2"/>
  <c r="E520" i="2"/>
  <c r="F51" i="2"/>
  <c r="E95" i="2"/>
  <c r="E103" i="2"/>
  <c r="F259" i="2"/>
  <c r="F489" i="2"/>
  <c r="E529" i="2"/>
  <c r="E426" i="2"/>
  <c r="F464" i="2"/>
  <c r="F514" i="2"/>
  <c r="F426" i="2"/>
  <c r="F144" i="2"/>
  <c r="E253" i="2"/>
  <c r="F286" i="2"/>
  <c r="E451" i="2"/>
  <c r="E515" i="2"/>
  <c r="E20" i="2"/>
  <c r="AH20" i="2" s="1"/>
  <c r="E313" i="2"/>
  <c r="F346" i="2"/>
  <c r="F386" i="2"/>
  <c r="E452" i="2"/>
  <c r="F378" i="2"/>
  <c r="E30" i="2"/>
  <c r="F509" i="2"/>
  <c r="F211" i="2"/>
  <c r="F255" i="2"/>
  <c r="F280" i="2"/>
  <c r="F202" i="2"/>
  <c r="F430" i="2"/>
  <c r="E526" i="2"/>
  <c r="AH526" i="2" s="1"/>
  <c r="E60" i="2"/>
  <c r="E307" i="2"/>
  <c r="F340" i="2"/>
  <c r="F109" i="2"/>
  <c r="F238" i="2"/>
  <c r="F281" i="2"/>
  <c r="E372" i="2"/>
  <c r="F469" i="2"/>
  <c r="F101" i="2"/>
  <c r="E333" i="2"/>
  <c r="F432" i="2"/>
  <c r="F94" i="2"/>
  <c r="F239" i="2"/>
  <c r="F274" i="2"/>
  <c r="E470" i="2"/>
  <c r="F373" i="2"/>
  <c r="E399" i="2"/>
  <c r="F463" i="2"/>
  <c r="F196" i="2"/>
  <c r="E224" i="2"/>
  <c r="F334" i="2"/>
  <c r="F425" i="2"/>
  <c r="F43" i="2"/>
  <c r="F95" i="2"/>
  <c r="F103" i="2"/>
  <c r="F134" i="2"/>
  <c r="F143" i="2"/>
  <c r="E188" i="2"/>
  <c r="E268" i="2"/>
  <c r="F351" i="2"/>
  <c r="E358" i="2"/>
  <c r="E464" i="2"/>
  <c r="E521" i="2"/>
  <c r="E457" i="2"/>
  <c r="F457" i="2"/>
  <c r="E490" i="2"/>
  <c r="F482" i="2"/>
  <c r="F218" i="2"/>
  <c r="F312" i="2"/>
  <c r="F345" i="2"/>
  <c r="F352" i="2"/>
  <c r="F359" i="2"/>
  <c r="F393" i="2"/>
  <c r="E465" i="2"/>
  <c r="E219" i="2"/>
  <c r="E287" i="2"/>
  <c r="F413" i="2"/>
  <c r="F20" i="2"/>
  <c r="AI20" i="2" s="1"/>
  <c r="F174" i="2"/>
  <c r="F313" i="2"/>
  <c r="F452" i="2"/>
  <c r="E509" i="2"/>
  <c r="F533" i="2"/>
  <c r="F11" i="2"/>
  <c r="E280" i="2"/>
  <c r="F306" i="2"/>
  <c r="E245" i="2"/>
  <c r="E414" i="2"/>
  <c r="F166" i="2"/>
  <c r="F314" i="2"/>
  <c r="E340" i="2"/>
  <c r="F380" i="2"/>
  <c r="F414" i="2"/>
  <c r="E453" i="2"/>
  <c r="E534" i="2"/>
  <c r="E157" i="2"/>
  <c r="F307" i="2"/>
  <c r="E230" i="2"/>
  <c r="E441" i="2"/>
  <c r="F149" i="2"/>
  <c r="F381" i="2"/>
  <c r="F441" i="2"/>
  <c r="E42" i="2"/>
  <c r="F50" i="2"/>
  <c r="E373" i="2"/>
  <c r="F408" i="2"/>
  <c r="E504" i="2"/>
  <c r="F528" i="2"/>
  <c r="F142" i="2"/>
  <c r="F267" i="2"/>
  <c r="F520" i="2"/>
  <c r="F150" i="2"/>
  <c r="F301" i="2"/>
  <c r="F325" i="2"/>
  <c r="E86" i="2"/>
  <c r="E180" i="2"/>
  <c r="F188" i="2"/>
  <c r="F217" i="2"/>
  <c r="E225" i="2"/>
  <c r="E232" i="2"/>
  <c r="F268" i="2"/>
  <c r="F358" i="2"/>
  <c r="F367" i="2"/>
  <c r="F477" i="2"/>
  <c r="F60" i="2"/>
  <c r="F42" i="2"/>
  <c r="F36" i="2"/>
  <c r="AI36" i="2" s="1"/>
  <c r="F86" i="2"/>
  <c r="F180" i="2"/>
  <c r="F225" i="2"/>
  <c r="F294" i="2"/>
  <c r="F319" i="2"/>
  <c r="F419" i="2"/>
  <c r="E229" i="2"/>
  <c r="F96" i="2"/>
  <c r="E144" i="2"/>
  <c r="E352" i="2"/>
  <c r="E393" i="2"/>
  <c r="F490" i="2"/>
  <c r="E238" i="2"/>
  <c r="E50" i="2"/>
  <c r="E37" i="2"/>
  <c r="F87" i="2"/>
  <c r="E136" i="2"/>
  <c r="F181" i="2"/>
  <c r="F253" i="2"/>
  <c r="E295" i="2"/>
  <c r="E320" i="2"/>
  <c r="E420" i="2"/>
  <c r="E458" i="2"/>
  <c r="F508" i="2"/>
  <c r="F515" i="2"/>
  <c r="F78" i="2"/>
  <c r="E128" i="2"/>
  <c r="F136" i="2"/>
  <c r="E262" i="2"/>
  <c r="F320" i="2"/>
  <c r="E386" i="2"/>
  <c r="F420" i="2"/>
  <c r="F458" i="2"/>
  <c r="E483" i="2"/>
  <c r="E491" i="2"/>
  <c r="F128" i="2"/>
  <c r="F244" i="2"/>
  <c r="E353" i="2"/>
  <c r="F483" i="2"/>
  <c r="F353" i="2"/>
  <c r="F370" i="2"/>
  <c r="F405" i="2"/>
  <c r="E516" i="2"/>
  <c r="E421" i="2"/>
  <c r="E347" i="2"/>
  <c r="F387" i="2"/>
  <c r="E485" i="2"/>
  <c r="F347" i="2"/>
  <c r="F12" i="2"/>
  <c r="E273" i="2"/>
  <c r="E510" i="2"/>
  <c r="F534" i="2"/>
  <c r="E248" i="2"/>
  <c r="F273" i="2"/>
  <c r="E407" i="2"/>
  <c r="F503" i="2"/>
  <c r="F157" i="2"/>
  <c r="F194" i="2"/>
  <c r="E381" i="2"/>
  <c r="E432" i="2"/>
  <c r="E478" i="2"/>
  <c r="F230" i="2"/>
  <c r="F341" i="2"/>
  <c r="F495" i="2"/>
  <c r="E535" i="2"/>
  <c r="E196" i="2"/>
  <c r="E325" i="2"/>
  <c r="F357" i="2"/>
  <c r="F231" i="2"/>
  <c r="F456" i="2"/>
  <c r="E496" i="2"/>
  <c r="AH18" i="2"/>
  <c r="AI18" i="2"/>
  <c r="AH23" i="2"/>
  <c r="AI25" i="2"/>
  <c r="AH28" i="2"/>
  <c r="AI28" i="2"/>
  <c r="AH30" i="2"/>
  <c r="AI32" i="2"/>
  <c r="AH33" i="2"/>
  <c r="AI34" i="2"/>
  <c r="AH37" i="2"/>
  <c r="AI47" i="2"/>
  <c r="AI48" i="2"/>
  <c r="AH50" i="2"/>
  <c r="AI50" i="2"/>
  <c r="Z526" i="2"/>
  <c r="Z525" i="2"/>
  <c r="AI412" i="2" l="1"/>
  <c r="I412" i="2"/>
  <c r="G412" i="2"/>
  <c r="AJ412" i="2" s="1"/>
  <c r="AH405" i="2"/>
  <c r="J405" i="2"/>
  <c r="H405" i="2"/>
  <c r="G10" i="2"/>
  <c r="AJ10" i="2" s="1"/>
  <c r="AI10" i="2"/>
  <c r="I10" i="2"/>
  <c r="I111" i="2"/>
  <c r="AI111" i="2"/>
  <c r="G111" i="2"/>
  <c r="AJ111" i="2" s="1"/>
  <c r="I55" i="2"/>
  <c r="AI55" i="2"/>
  <c r="G55" i="2"/>
  <c r="AJ55" i="2" s="1"/>
  <c r="AH442" i="2"/>
  <c r="H442" i="2"/>
  <c r="J442" i="2"/>
  <c r="I242" i="2"/>
  <c r="AI242" i="2"/>
  <c r="G242" i="2"/>
  <c r="AJ242" i="2" s="1"/>
  <c r="I241" i="2"/>
  <c r="AI241" i="2"/>
  <c r="G241" i="2"/>
  <c r="AJ241" i="2" s="1"/>
  <c r="AH111" i="2"/>
  <c r="H111" i="2"/>
  <c r="J111" i="2"/>
  <c r="AH415" i="2"/>
  <c r="J415" i="2"/>
  <c r="H415" i="2"/>
  <c r="G415" i="2"/>
  <c r="AJ415" i="2" s="1"/>
  <c r="I415" i="2"/>
  <c r="AI415" i="2"/>
  <c r="H413" i="2"/>
  <c r="J413" i="2"/>
  <c r="AH413" i="2"/>
  <c r="G12" i="2"/>
  <c r="AJ12" i="2" s="1"/>
  <c r="I12" i="2"/>
  <c r="AI12" i="2"/>
  <c r="AH534" i="2"/>
  <c r="H534" i="2"/>
  <c r="J534" i="2"/>
  <c r="AH51" i="2"/>
  <c r="J51" i="2"/>
  <c r="H51" i="2"/>
  <c r="AH161" i="2"/>
  <c r="J161" i="2"/>
  <c r="H161" i="2"/>
  <c r="I422" i="2"/>
  <c r="AI422" i="2"/>
  <c r="G422" i="2"/>
  <c r="AJ422" i="2" s="1"/>
  <c r="G407" i="2"/>
  <c r="AJ407" i="2" s="1"/>
  <c r="AI407" i="2"/>
  <c r="I407" i="2"/>
  <c r="AH241" i="2"/>
  <c r="J241" i="2"/>
  <c r="H241" i="2"/>
  <c r="G209" i="2"/>
  <c r="AJ209" i="2" s="1"/>
  <c r="AI209" i="2"/>
  <c r="I209" i="2"/>
  <c r="AH54" i="2"/>
  <c r="J54" i="2"/>
  <c r="H54" i="2"/>
  <c r="AH414" i="2"/>
  <c r="H414" i="2"/>
  <c r="J414" i="2"/>
  <c r="I54" i="2"/>
  <c r="G54" i="2"/>
  <c r="AJ54" i="2" s="1"/>
  <c r="AI54" i="2"/>
  <c r="AH231" i="2"/>
  <c r="H231" i="2"/>
  <c r="J231" i="2"/>
  <c r="AH124" i="2"/>
  <c r="J124" i="2"/>
  <c r="H124" i="2"/>
  <c r="H416" i="2"/>
  <c r="J416" i="2"/>
  <c r="AH416" i="2"/>
  <c r="G417" i="2"/>
  <c r="AJ417" i="2" s="1"/>
  <c r="I417" i="2"/>
  <c r="AI417" i="2"/>
  <c r="AH10" i="2"/>
  <c r="J10" i="2"/>
  <c r="H10" i="2"/>
  <c r="AH114" i="2"/>
  <c r="J114" i="2"/>
  <c r="H114" i="2"/>
  <c r="AI534" i="2"/>
  <c r="G534" i="2"/>
  <c r="AJ534" i="2" s="1"/>
  <c r="I534" i="2"/>
  <c r="I192" i="2"/>
  <c r="G192" i="2"/>
  <c r="AJ192" i="2" s="1"/>
  <c r="AI192" i="2"/>
  <c r="AH376" i="2"/>
  <c r="J376" i="2"/>
  <c r="H376" i="2"/>
  <c r="I532" i="2"/>
  <c r="G532" i="2"/>
  <c r="AJ532" i="2" s="1"/>
  <c r="AI532" i="2"/>
  <c r="AI138" i="2"/>
  <c r="I138" i="2"/>
  <c r="G138" i="2"/>
  <c r="AJ138" i="2" s="1"/>
  <c r="G394" i="2"/>
  <c r="AJ394" i="2" s="1"/>
  <c r="I394" i="2"/>
  <c r="AI394" i="2"/>
  <c r="AH406" i="2"/>
  <c r="J406" i="2"/>
  <c r="H406" i="2"/>
  <c r="AI416" i="2"/>
  <c r="I416" i="2"/>
  <c r="G416" i="2"/>
  <c r="AJ416" i="2" s="1"/>
  <c r="AH533" i="2"/>
  <c r="J533" i="2"/>
  <c r="H533" i="2"/>
  <c r="AH411" i="2"/>
  <c r="J411" i="2"/>
  <c r="H411" i="2"/>
  <c r="H55" i="2"/>
  <c r="AH55" i="2"/>
  <c r="J55" i="2"/>
  <c r="I393" i="2"/>
  <c r="G393" i="2"/>
  <c r="AJ393" i="2" s="1"/>
  <c r="AI393" i="2"/>
  <c r="AH532" i="2"/>
  <c r="H532" i="2"/>
  <c r="J532" i="2"/>
  <c r="AH242" i="2"/>
  <c r="H242" i="2"/>
  <c r="J242" i="2"/>
  <c r="G161" i="2"/>
  <c r="AJ161" i="2" s="1"/>
  <c r="I161" i="2"/>
  <c r="AI161" i="2"/>
  <c r="AH412" i="2"/>
  <c r="H412" i="2"/>
  <c r="J412" i="2"/>
  <c r="AI114" i="2"/>
  <c r="G114" i="2"/>
  <c r="AJ114" i="2" s="1"/>
  <c r="I114" i="2"/>
  <c r="AI137" i="2"/>
  <c r="G137" i="2"/>
  <c r="AJ137" i="2" s="1"/>
  <c r="I137" i="2"/>
  <c r="I411" i="2"/>
  <c r="AI411" i="2"/>
  <c r="G411" i="2"/>
  <c r="AJ411" i="2" s="1"/>
  <c r="AI533" i="2"/>
  <c r="G533" i="2"/>
  <c r="AJ533" i="2" s="1"/>
  <c r="I533" i="2"/>
  <c r="AH394" i="2"/>
  <c r="J394" i="2"/>
  <c r="H394" i="2"/>
  <c r="AH138" i="2"/>
  <c r="J138" i="2"/>
  <c r="H138" i="2"/>
  <c r="AH209" i="2"/>
  <c r="J209" i="2"/>
  <c r="H209" i="2"/>
  <c r="I124" i="2"/>
  <c r="AI124" i="2"/>
  <c r="G124" i="2"/>
  <c r="AJ124" i="2" s="1"/>
  <c r="I409" i="2"/>
  <c r="G409" i="2"/>
  <c r="AJ409" i="2" s="1"/>
  <c r="AI409" i="2"/>
  <c r="AH393" i="2"/>
  <c r="H393" i="2"/>
  <c r="J393" i="2"/>
  <c r="AI413" i="2"/>
  <c r="I413" i="2"/>
  <c r="G413" i="2"/>
  <c r="AJ413" i="2" s="1"/>
  <c r="AH409" i="2"/>
  <c r="J409" i="2"/>
  <c r="H409" i="2"/>
  <c r="AH11" i="2"/>
  <c r="H11" i="2"/>
  <c r="J11" i="2"/>
  <c r="AH417" i="2"/>
  <c r="H417" i="2"/>
  <c r="J417" i="2"/>
  <c r="AI408" i="2"/>
  <c r="I408" i="2"/>
  <c r="G408" i="2"/>
  <c r="AJ408" i="2" s="1"/>
  <c r="AH112" i="2"/>
  <c r="J112" i="2"/>
  <c r="H112" i="2"/>
  <c r="AI406" i="2"/>
  <c r="I406" i="2"/>
  <c r="G406" i="2"/>
  <c r="AJ406" i="2" s="1"/>
  <c r="AH407" i="2"/>
  <c r="H407" i="2"/>
  <c r="J407" i="2"/>
  <c r="G51" i="2"/>
  <c r="AJ51" i="2" s="1"/>
  <c r="I51" i="2"/>
  <c r="AI51" i="2"/>
  <c r="AH410" i="2"/>
  <c r="J410" i="2"/>
  <c r="H410" i="2"/>
  <c r="AI442" i="2"/>
  <c r="G442" i="2"/>
  <c r="AJ442" i="2" s="1"/>
  <c r="I442" i="2"/>
  <c r="G231" i="2"/>
  <c r="AJ231" i="2" s="1"/>
  <c r="AI231" i="2"/>
  <c r="I231" i="2"/>
  <c r="AH408" i="2"/>
  <c r="J408" i="2"/>
  <c r="H408" i="2"/>
  <c r="AI376" i="2"/>
  <c r="G376" i="2"/>
  <c r="AJ376" i="2" s="1"/>
  <c r="I376" i="2"/>
  <c r="AI414" i="2"/>
  <c r="I414" i="2"/>
  <c r="G414" i="2"/>
  <c r="AJ414" i="2" s="1"/>
  <c r="AH137" i="2"/>
  <c r="H137" i="2"/>
  <c r="J137" i="2"/>
  <c r="AI405" i="2"/>
  <c r="I405" i="2"/>
  <c r="G405" i="2"/>
  <c r="AJ405" i="2" s="1"/>
  <c r="AH422" i="2"/>
  <c r="J422" i="2"/>
  <c r="H422" i="2"/>
  <c r="AI11" i="2"/>
  <c r="G11" i="2"/>
  <c r="AJ11" i="2" s="1"/>
  <c r="I11" i="2"/>
  <c r="AI410" i="2"/>
  <c r="I410" i="2"/>
  <c r="G410" i="2"/>
  <c r="AJ410" i="2" s="1"/>
  <c r="G112" i="2"/>
  <c r="AJ112" i="2" s="1"/>
  <c r="I112" i="2"/>
  <c r="AI112" i="2"/>
  <c r="AH192" i="2"/>
  <c r="J192" i="2"/>
  <c r="H192" i="2"/>
  <c r="AH12" i="2"/>
  <c r="J12" i="2"/>
  <c r="H12" i="2"/>
  <c r="AH530" i="2"/>
  <c r="H530" i="2"/>
  <c r="J530" i="2"/>
  <c r="AH232" i="2"/>
  <c r="H232" i="2"/>
  <c r="J232" i="2"/>
  <c r="AH183" i="2"/>
  <c r="H183" i="2"/>
  <c r="J183" i="2"/>
  <c r="AH174" i="2"/>
  <c r="H174" i="2"/>
  <c r="J174" i="2"/>
  <c r="AI183" i="2"/>
  <c r="I183" i="2"/>
  <c r="G183" i="2"/>
  <c r="AJ183" i="2" s="1"/>
  <c r="AI535" i="2"/>
  <c r="G535" i="2"/>
  <c r="AJ535" i="2" s="1"/>
  <c r="I535" i="2"/>
  <c r="AI176" i="2"/>
  <c r="I176" i="2"/>
  <c r="G176" i="2"/>
  <c r="AJ176" i="2" s="1"/>
  <c r="AI530" i="2"/>
  <c r="I530" i="2"/>
  <c r="G530" i="2"/>
  <c r="AJ530" i="2" s="1"/>
  <c r="AH531" i="2"/>
  <c r="J531" i="2"/>
  <c r="H531" i="2"/>
  <c r="AI169" i="2"/>
  <c r="G169" i="2"/>
  <c r="AJ169" i="2" s="1"/>
  <c r="I169" i="2"/>
  <c r="AI481" i="2"/>
  <c r="G481" i="2"/>
  <c r="AJ481" i="2" s="1"/>
  <c r="I481" i="2"/>
  <c r="AH46" i="2"/>
  <c r="H46" i="2"/>
  <c r="J46" i="2"/>
  <c r="AI178" i="2"/>
  <c r="G178" i="2"/>
  <c r="AJ178" i="2" s="1"/>
  <c r="I178" i="2"/>
  <c r="AI170" i="2"/>
  <c r="I170" i="2"/>
  <c r="G170" i="2"/>
  <c r="AJ170" i="2" s="1"/>
  <c r="AI232" i="2"/>
  <c r="G232" i="2"/>
  <c r="AJ232" i="2" s="1"/>
  <c r="I232" i="2"/>
  <c r="AH45" i="2"/>
  <c r="J45" i="2"/>
  <c r="H45" i="2"/>
  <c r="AI42" i="2"/>
  <c r="I42" i="2"/>
  <c r="G42" i="2"/>
  <c r="AJ42" i="2" s="1"/>
  <c r="AI113" i="2"/>
  <c r="G113" i="2"/>
  <c r="AJ113" i="2" s="1"/>
  <c r="I113" i="2"/>
  <c r="AH160" i="2"/>
  <c r="J160" i="2"/>
  <c r="H160" i="2"/>
  <c r="AH184" i="2"/>
  <c r="J184" i="2"/>
  <c r="H184" i="2"/>
  <c r="AH176" i="2"/>
  <c r="J176" i="2"/>
  <c r="H176" i="2"/>
  <c r="AI44" i="2"/>
  <c r="I44" i="2"/>
  <c r="G44" i="2"/>
  <c r="AJ44" i="2" s="1"/>
  <c r="AI43" i="2"/>
  <c r="G43" i="2"/>
  <c r="AJ43" i="2" s="1"/>
  <c r="I43" i="2"/>
  <c r="AI139" i="2"/>
  <c r="G139" i="2"/>
  <c r="AJ139" i="2" s="1"/>
  <c r="I139" i="2"/>
  <c r="AH177" i="2"/>
  <c r="J177" i="2"/>
  <c r="H177" i="2"/>
  <c r="AH169" i="2"/>
  <c r="J169" i="2"/>
  <c r="H169" i="2"/>
  <c r="AH212" i="2"/>
  <c r="J212" i="2"/>
  <c r="H212" i="2"/>
  <c r="AI529" i="2"/>
  <c r="G529" i="2"/>
  <c r="AJ529" i="2" s="1"/>
  <c r="I529" i="2"/>
  <c r="AI45" i="2"/>
  <c r="G45" i="2"/>
  <c r="AJ45" i="2" s="1"/>
  <c r="I45" i="2"/>
  <c r="AH175" i="2"/>
  <c r="H175" i="2"/>
  <c r="J175" i="2"/>
  <c r="AH76" i="2"/>
  <c r="H76" i="2"/>
  <c r="J76" i="2"/>
  <c r="AI184" i="2"/>
  <c r="I184" i="2"/>
  <c r="G184" i="2"/>
  <c r="AJ184" i="2" s="1"/>
  <c r="AH529" i="2"/>
  <c r="J529" i="2"/>
  <c r="H529" i="2"/>
  <c r="AI77" i="2"/>
  <c r="G77" i="2"/>
  <c r="AJ77" i="2" s="1"/>
  <c r="I77" i="2"/>
  <c r="AH170" i="2"/>
  <c r="H170" i="2"/>
  <c r="J170" i="2"/>
  <c r="AH191" i="2"/>
  <c r="J191" i="2"/>
  <c r="H191" i="2"/>
  <c r="AI78" i="2"/>
  <c r="I78" i="2"/>
  <c r="G78" i="2"/>
  <c r="AJ78" i="2" s="1"/>
  <c r="AH179" i="2"/>
  <c r="J179" i="2"/>
  <c r="H179" i="2"/>
  <c r="AH171" i="2"/>
  <c r="J171" i="2"/>
  <c r="H171" i="2"/>
  <c r="AH162" i="2"/>
  <c r="J162" i="2"/>
  <c r="H162" i="2"/>
  <c r="AH43" i="2"/>
  <c r="J43" i="2"/>
  <c r="H43" i="2"/>
  <c r="AH139" i="2"/>
  <c r="J139" i="2"/>
  <c r="H139" i="2"/>
  <c r="AI179" i="2"/>
  <c r="G179" i="2"/>
  <c r="AJ179" i="2" s="1"/>
  <c r="I179" i="2"/>
  <c r="AI171" i="2"/>
  <c r="G171" i="2"/>
  <c r="AJ171" i="2" s="1"/>
  <c r="I171" i="2"/>
  <c r="AH78" i="2"/>
  <c r="J78" i="2"/>
  <c r="H78" i="2"/>
  <c r="AH44" i="2"/>
  <c r="J44" i="2"/>
  <c r="H44" i="2"/>
  <c r="AH163" i="2"/>
  <c r="H163" i="2"/>
  <c r="J163" i="2"/>
  <c r="AI180" i="2"/>
  <c r="I180" i="2"/>
  <c r="G180" i="2"/>
  <c r="AJ180" i="2" s="1"/>
  <c r="AI172" i="2"/>
  <c r="G172" i="2"/>
  <c r="AJ172" i="2" s="1"/>
  <c r="I172" i="2"/>
  <c r="AI480" i="2"/>
  <c r="I480" i="2"/>
  <c r="G480" i="2"/>
  <c r="AJ480" i="2" s="1"/>
  <c r="AH182" i="2"/>
  <c r="H182" i="2"/>
  <c r="J182" i="2"/>
  <c r="AH159" i="2"/>
  <c r="H159" i="2"/>
  <c r="J159" i="2"/>
  <c r="AH535" i="2"/>
  <c r="H535" i="2"/>
  <c r="J535" i="2"/>
  <c r="AI159" i="2"/>
  <c r="G159" i="2"/>
  <c r="AJ159" i="2" s="1"/>
  <c r="I159" i="2"/>
  <c r="AI175" i="2"/>
  <c r="G175" i="2"/>
  <c r="AJ175" i="2" s="1"/>
  <c r="I175" i="2"/>
  <c r="AI173" i="2"/>
  <c r="G173" i="2"/>
  <c r="AJ173" i="2" s="1"/>
  <c r="I173" i="2"/>
  <c r="AH77" i="2"/>
  <c r="J77" i="2"/>
  <c r="H77" i="2"/>
  <c r="AI160" i="2"/>
  <c r="I160" i="2"/>
  <c r="G160" i="2"/>
  <c r="AJ160" i="2" s="1"/>
  <c r="I525" i="2"/>
  <c r="AI525" i="2"/>
  <c r="AI531" i="2"/>
  <c r="G531" i="2"/>
  <c r="AJ531" i="2" s="1"/>
  <c r="I531" i="2"/>
  <c r="AH178" i="2"/>
  <c r="H178" i="2"/>
  <c r="J178" i="2"/>
  <c r="AI212" i="2"/>
  <c r="I212" i="2"/>
  <c r="G212" i="2"/>
  <c r="AJ212" i="2" s="1"/>
  <c r="AH42" i="2"/>
  <c r="J42" i="2"/>
  <c r="H42" i="2"/>
  <c r="AH113" i="2"/>
  <c r="H113" i="2"/>
  <c r="J113" i="2"/>
  <c r="AI182" i="2"/>
  <c r="I182" i="2"/>
  <c r="G182" i="2"/>
  <c r="AJ182" i="2" s="1"/>
  <c r="AI174" i="2"/>
  <c r="I174" i="2"/>
  <c r="G174" i="2"/>
  <c r="AJ174" i="2" s="1"/>
  <c r="AI191" i="2"/>
  <c r="G191" i="2"/>
  <c r="AJ191" i="2" s="1"/>
  <c r="I191" i="2"/>
  <c r="AI181" i="2"/>
  <c r="I181" i="2"/>
  <c r="G181" i="2"/>
  <c r="AJ181" i="2" s="1"/>
  <c r="AI46" i="2"/>
  <c r="G46" i="2"/>
  <c r="AJ46" i="2" s="1"/>
  <c r="I46" i="2"/>
  <c r="AI163" i="2"/>
  <c r="I163" i="2"/>
  <c r="G163" i="2"/>
  <c r="AJ163" i="2" s="1"/>
  <c r="AH180" i="2"/>
  <c r="J180" i="2"/>
  <c r="H180" i="2"/>
  <c r="AH172" i="2"/>
  <c r="J172" i="2"/>
  <c r="H172" i="2"/>
  <c r="AH480" i="2"/>
  <c r="J480" i="2"/>
  <c r="H480" i="2"/>
  <c r="AI177" i="2"/>
  <c r="G177" i="2"/>
  <c r="AJ177" i="2" s="1"/>
  <c r="I177" i="2"/>
  <c r="AI76" i="2"/>
  <c r="G76" i="2"/>
  <c r="AJ76" i="2" s="1"/>
  <c r="I76" i="2"/>
  <c r="AI162" i="2"/>
  <c r="I162" i="2"/>
  <c r="G162" i="2"/>
  <c r="AJ162" i="2" s="1"/>
  <c r="AH181" i="2"/>
  <c r="J181" i="2"/>
  <c r="H181" i="2"/>
  <c r="AH173" i="2"/>
  <c r="J173" i="2"/>
  <c r="H173" i="2"/>
  <c r="AH481" i="2"/>
  <c r="J481" i="2"/>
  <c r="H481" i="2"/>
  <c r="G526" i="2"/>
  <c r="AJ526" i="2" s="1"/>
  <c r="J526" i="2"/>
  <c r="G525" i="2"/>
  <c r="AJ525" i="2" s="1"/>
  <c r="H526" i="2"/>
  <c r="J525" i="2"/>
  <c r="H525" i="2"/>
  <c r="I526" i="2"/>
  <c r="I53" i="2" l="1"/>
  <c r="H53" i="2"/>
  <c r="J53" i="2"/>
  <c r="AH486" i="2"/>
  <c r="AI486" i="2"/>
  <c r="AH487" i="2"/>
  <c r="AI487" i="2"/>
  <c r="AH488" i="2"/>
  <c r="AI488" i="2"/>
  <c r="AH489" i="2"/>
  <c r="AI489" i="2"/>
  <c r="AH490" i="2"/>
  <c r="AI490" i="2"/>
  <c r="AH491" i="2"/>
  <c r="AI491" i="2"/>
  <c r="AH492" i="2"/>
  <c r="AI492" i="2"/>
  <c r="AH493" i="2"/>
  <c r="AI493" i="2"/>
  <c r="AH494" i="2"/>
  <c r="AI494" i="2"/>
  <c r="AH495" i="2"/>
  <c r="AI495" i="2"/>
  <c r="AH496" i="2"/>
  <c r="AI496" i="2"/>
  <c r="AH497" i="2"/>
  <c r="AI497" i="2"/>
  <c r="AH498" i="2"/>
  <c r="AI498" i="2"/>
  <c r="AH499" i="2"/>
  <c r="AI499" i="2"/>
  <c r="AH500" i="2"/>
  <c r="AI500" i="2"/>
  <c r="AH501" i="2"/>
  <c r="AI501" i="2"/>
  <c r="AH502" i="2"/>
  <c r="AI502" i="2"/>
  <c r="AH503" i="2"/>
  <c r="AI503" i="2"/>
  <c r="AH504" i="2"/>
  <c r="AI504" i="2"/>
  <c r="AH505" i="2"/>
  <c r="AI505" i="2"/>
  <c r="AH506" i="2"/>
  <c r="AI506" i="2"/>
  <c r="AH507" i="2"/>
  <c r="AI507" i="2"/>
  <c r="AH508" i="2"/>
  <c r="AI508" i="2"/>
  <c r="AH509" i="2"/>
  <c r="AI509" i="2"/>
  <c r="AH510" i="2"/>
  <c r="AI510" i="2"/>
  <c r="AH511" i="2"/>
  <c r="AI511" i="2"/>
  <c r="AH512" i="2"/>
  <c r="AI512" i="2"/>
  <c r="AH513" i="2"/>
  <c r="AI513" i="2"/>
  <c r="AH514" i="2"/>
  <c r="AI514" i="2"/>
  <c r="AH515" i="2"/>
  <c r="AI515" i="2"/>
  <c r="AH516" i="2"/>
  <c r="AI516" i="2"/>
  <c r="AH517" i="2"/>
  <c r="AI517" i="2"/>
  <c r="AH518" i="2"/>
  <c r="AI518" i="2"/>
  <c r="AH519" i="2"/>
  <c r="AI519" i="2"/>
  <c r="AH520" i="2"/>
  <c r="AI520" i="2"/>
  <c r="AH521" i="2"/>
  <c r="AI521" i="2"/>
  <c r="AH522" i="2"/>
  <c r="AI522" i="2"/>
  <c r="AH523" i="2"/>
  <c r="AI523" i="2"/>
  <c r="AH524" i="2"/>
  <c r="AI524" i="2"/>
  <c r="AH527" i="2"/>
  <c r="AI527" i="2"/>
  <c r="AH528" i="2"/>
  <c r="AI528" i="2"/>
  <c r="AI485" i="2"/>
  <c r="AH485" i="2"/>
  <c r="AH451" i="2"/>
  <c r="AI451" i="2"/>
  <c r="AH452" i="2"/>
  <c r="AI452" i="2"/>
  <c r="AH453" i="2"/>
  <c r="AI453" i="2"/>
  <c r="AH454" i="2"/>
  <c r="AI454" i="2"/>
  <c r="AH455" i="2"/>
  <c r="AI455" i="2"/>
  <c r="AH456" i="2"/>
  <c r="AI456" i="2"/>
  <c r="AH457" i="2"/>
  <c r="AI457" i="2"/>
  <c r="AH458" i="2"/>
  <c r="AI458" i="2"/>
  <c r="AH459" i="2"/>
  <c r="AI459" i="2"/>
  <c r="AH460" i="2"/>
  <c r="AI460" i="2"/>
  <c r="AH461" i="2"/>
  <c r="AI461" i="2"/>
  <c r="AH462" i="2"/>
  <c r="AI462" i="2"/>
  <c r="AH463" i="2"/>
  <c r="AI463" i="2"/>
  <c r="AH464" i="2"/>
  <c r="AI464" i="2"/>
  <c r="AH465" i="2"/>
  <c r="AI465" i="2"/>
  <c r="AH466" i="2"/>
  <c r="AI466" i="2"/>
  <c r="AH467" i="2"/>
  <c r="AI467" i="2"/>
  <c r="AH468" i="2"/>
  <c r="AI468" i="2"/>
  <c r="AH469" i="2"/>
  <c r="AI469" i="2"/>
  <c r="AH470" i="2"/>
  <c r="AI470" i="2"/>
  <c r="AH471" i="2"/>
  <c r="AI471" i="2"/>
  <c r="AH472" i="2"/>
  <c r="AI472" i="2"/>
  <c r="AH473" i="2"/>
  <c r="AI473" i="2"/>
  <c r="AH474" i="2"/>
  <c r="AI474" i="2"/>
  <c r="AH475" i="2"/>
  <c r="AI475" i="2"/>
  <c r="AH476" i="2"/>
  <c r="AI476" i="2"/>
  <c r="AH477" i="2"/>
  <c r="AI477" i="2"/>
  <c r="AH478" i="2"/>
  <c r="AI478" i="2"/>
  <c r="AH479" i="2"/>
  <c r="AI479" i="2"/>
  <c r="AH482" i="2"/>
  <c r="AI482" i="2"/>
  <c r="AH483" i="2"/>
  <c r="AI483" i="2"/>
  <c r="AI450" i="2"/>
  <c r="AH450" i="2"/>
  <c r="AH433" i="2"/>
  <c r="AI433" i="2"/>
  <c r="AH434" i="2"/>
  <c r="AI434" i="2"/>
  <c r="AH435" i="2"/>
  <c r="AI435" i="2"/>
  <c r="AH436" i="2"/>
  <c r="AI436" i="2"/>
  <c r="AH437" i="2"/>
  <c r="AI437" i="2"/>
  <c r="AH438" i="2"/>
  <c r="AI438" i="2"/>
  <c r="AH439" i="2"/>
  <c r="AI439" i="2"/>
  <c r="AH440" i="2"/>
  <c r="AI440" i="2"/>
  <c r="AH441" i="2"/>
  <c r="AI441" i="2"/>
  <c r="AH443" i="2"/>
  <c r="AI443" i="2"/>
  <c r="AI432" i="2"/>
  <c r="AH432" i="2"/>
  <c r="AH418" i="2"/>
  <c r="AI418" i="2"/>
  <c r="AH419" i="2"/>
  <c r="AI419" i="2"/>
  <c r="AH420" i="2"/>
  <c r="AI420" i="2"/>
  <c r="AH421" i="2"/>
  <c r="AI421" i="2"/>
  <c r="AH423" i="2"/>
  <c r="AI423" i="2"/>
  <c r="AH424" i="2"/>
  <c r="AI424" i="2"/>
  <c r="AH425" i="2"/>
  <c r="AI425" i="2"/>
  <c r="AH426" i="2"/>
  <c r="AI426" i="2"/>
  <c r="AH427" i="2"/>
  <c r="AI427" i="2"/>
  <c r="AH428" i="2"/>
  <c r="AI428" i="2"/>
  <c r="AH429" i="2"/>
  <c r="AI429" i="2"/>
  <c r="AH430" i="2"/>
  <c r="AI430" i="2"/>
  <c r="AI404" i="2"/>
  <c r="AH404" i="2"/>
  <c r="AH381" i="2"/>
  <c r="AI381" i="2"/>
  <c r="AH382" i="2"/>
  <c r="AI382" i="2"/>
  <c r="AH383" i="2"/>
  <c r="AI383" i="2"/>
  <c r="AH384" i="2"/>
  <c r="AI384" i="2"/>
  <c r="AH385" i="2"/>
  <c r="AI385" i="2"/>
  <c r="AH386" i="2"/>
  <c r="AI386" i="2"/>
  <c r="AH387" i="2"/>
  <c r="AI387" i="2"/>
  <c r="AH388" i="2"/>
  <c r="AI388" i="2"/>
  <c r="AH389" i="2"/>
  <c r="AI389" i="2"/>
  <c r="AH390" i="2"/>
  <c r="AI390" i="2"/>
  <c r="AH391" i="2"/>
  <c r="AI391" i="2"/>
  <c r="AH392" i="2"/>
  <c r="AI392" i="2"/>
  <c r="AH395" i="2"/>
  <c r="AI395" i="2"/>
  <c r="AH396" i="2"/>
  <c r="AI396" i="2"/>
  <c r="AH397" i="2"/>
  <c r="AI397" i="2"/>
  <c r="AH398" i="2"/>
  <c r="AI398" i="2"/>
  <c r="AH399" i="2"/>
  <c r="AI399" i="2"/>
  <c r="AH400" i="2"/>
  <c r="AI400" i="2"/>
  <c r="AH401" i="2"/>
  <c r="AI401" i="2"/>
  <c r="AH402" i="2"/>
  <c r="AI402" i="2"/>
  <c r="AI380" i="2"/>
  <c r="AH380" i="2"/>
  <c r="AH249" i="2"/>
  <c r="AI249" i="2"/>
  <c r="AH250" i="2"/>
  <c r="AI250" i="2"/>
  <c r="AH251" i="2"/>
  <c r="AI251" i="2"/>
  <c r="AH252" i="2"/>
  <c r="AI252" i="2"/>
  <c r="AH253" i="2"/>
  <c r="AI253" i="2"/>
  <c r="AH254" i="2"/>
  <c r="AI254" i="2"/>
  <c r="AH255" i="2"/>
  <c r="AI255" i="2"/>
  <c r="AH256" i="2"/>
  <c r="AI256" i="2"/>
  <c r="AH257" i="2"/>
  <c r="AI257" i="2"/>
  <c r="AH258" i="2"/>
  <c r="AI258" i="2"/>
  <c r="AH259" i="2"/>
  <c r="AI259" i="2"/>
  <c r="AH260" i="2"/>
  <c r="AI260" i="2"/>
  <c r="AH261" i="2"/>
  <c r="AI261" i="2"/>
  <c r="AH262" i="2"/>
  <c r="AI262" i="2"/>
  <c r="AH263" i="2"/>
  <c r="AI263" i="2"/>
  <c r="AH264" i="2"/>
  <c r="AI264" i="2"/>
  <c r="AH265" i="2"/>
  <c r="AI265" i="2"/>
  <c r="AH266" i="2"/>
  <c r="AI266" i="2"/>
  <c r="AH267" i="2"/>
  <c r="AI267" i="2"/>
  <c r="AH268" i="2"/>
  <c r="AI268" i="2"/>
  <c r="AH269" i="2"/>
  <c r="AI269" i="2"/>
  <c r="AH270" i="2"/>
  <c r="AI270" i="2"/>
  <c r="AH271" i="2"/>
  <c r="AI271" i="2"/>
  <c r="AH272" i="2"/>
  <c r="AI272" i="2"/>
  <c r="AH273" i="2"/>
  <c r="AI273" i="2"/>
  <c r="AH274" i="2"/>
  <c r="AI274" i="2"/>
  <c r="AH275" i="2"/>
  <c r="AI275" i="2"/>
  <c r="AH276" i="2"/>
  <c r="AI276" i="2"/>
  <c r="AH277" i="2"/>
  <c r="AI277" i="2"/>
  <c r="AH278" i="2"/>
  <c r="AI278" i="2"/>
  <c r="AH279" i="2"/>
  <c r="AI279" i="2"/>
  <c r="AH280" i="2"/>
  <c r="AI280" i="2"/>
  <c r="AH281" i="2"/>
  <c r="AI281" i="2"/>
  <c r="AH282" i="2"/>
  <c r="AI282" i="2"/>
  <c r="AH283" i="2"/>
  <c r="AI283" i="2"/>
  <c r="AH284" i="2"/>
  <c r="AI284" i="2"/>
  <c r="AH285" i="2"/>
  <c r="AI285" i="2"/>
  <c r="AH286" i="2"/>
  <c r="AI286" i="2"/>
  <c r="AH287" i="2"/>
  <c r="AI287" i="2"/>
  <c r="AH288" i="2"/>
  <c r="AI288" i="2"/>
  <c r="AH289" i="2"/>
  <c r="AI289" i="2"/>
  <c r="AH290" i="2"/>
  <c r="AI290" i="2"/>
  <c r="AH291" i="2"/>
  <c r="AI291" i="2"/>
  <c r="AH292" i="2"/>
  <c r="AI292" i="2"/>
  <c r="AH293" i="2"/>
  <c r="AI293" i="2"/>
  <c r="AH294" i="2"/>
  <c r="AI294" i="2"/>
  <c r="AH295" i="2"/>
  <c r="AI295" i="2"/>
  <c r="AH296" i="2"/>
  <c r="AI296" i="2"/>
  <c r="AH297" i="2"/>
  <c r="AI297" i="2"/>
  <c r="AH298" i="2"/>
  <c r="AI298" i="2"/>
  <c r="AH299" i="2"/>
  <c r="AI299" i="2"/>
  <c r="AH300" i="2"/>
  <c r="AI300" i="2"/>
  <c r="AH301" i="2"/>
  <c r="AI301" i="2"/>
  <c r="AH302" i="2"/>
  <c r="AI302" i="2"/>
  <c r="AH303" i="2"/>
  <c r="AI303" i="2"/>
  <c r="AH304" i="2"/>
  <c r="AI304" i="2"/>
  <c r="AH305" i="2"/>
  <c r="AI305" i="2"/>
  <c r="AH306" i="2"/>
  <c r="AI306" i="2"/>
  <c r="AH307" i="2"/>
  <c r="AI307" i="2"/>
  <c r="AH308" i="2"/>
  <c r="AI308" i="2"/>
  <c r="AH309" i="2"/>
  <c r="AI309" i="2"/>
  <c r="AH310" i="2"/>
  <c r="AI310" i="2"/>
  <c r="AH311" i="2"/>
  <c r="AI311" i="2"/>
  <c r="AH312" i="2"/>
  <c r="AI312" i="2"/>
  <c r="AH313" i="2"/>
  <c r="AI313" i="2"/>
  <c r="AH314" i="2"/>
  <c r="AI314" i="2"/>
  <c r="AH315" i="2"/>
  <c r="AI315" i="2"/>
  <c r="AH316" i="2"/>
  <c r="AI316" i="2"/>
  <c r="AH317" i="2"/>
  <c r="AI317" i="2"/>
  <c r="AH318" i="2"/>
  <c r="AI318" i="2"/>
  <c r="AH319" i="2"/>
  <c r="AI319" i="2"/>
  <c r="AH320" i="2"/>
  <c r="AI320" i="2"/>
  <c r="AH321" i="2"/>
  <c r="AI321" i="2"/>
  <c r="AH322" i="2"/>
  <c r="AI322" i="2"/>
  <c r="AH323" i="2"/>
  <c r="AI323" i="2"/>
  <c r="AH324" i="2"/>
  <c r="AI324" i="2"/>
  <c r="AH325" i="2"/>
  <c r="AI325" i="2"/>
  <c r="AH326" i="2"/>
  <c r="AI326" i="2"/>
  <c r="AH327" i="2"/>
  <c r="AI327" i="2"/>
  <c r="AH328" i="2"/>
  <c r="AI328" i="2"/>
  <c r="AH329" i="2"/>
  <c r="AI329" i="2"/>
  <c r="AH330" i="2"/>
  <c r="AI330" i="2"/>
  <c r="AH331" i="2"/>
  <c r="AI331" i="2"/>
  <c r="AH332" i="2"/>
  <c r="AI332" i="2"/>
  <c r="AH333" i="2"/>
  <c r="AI333" i="2"/>
  <c r="AH334" i="2"/>
  <c r="AI334" i="2"/>
  <c r="AH335" i="2"/>
  <c r="AI335" i="2"/>
  <c r="AH336" i="2"/>
  <c r="AI336" i="2"/>
  <c r="AH337" i="2"/>
  <c r="AI337" i="2"/>
  <c r="AH338" i="2"/>
  <c r="AI338" i="2"/>
  <c r="AH339" i="2"/>
  <c r="AI339" i="2"/>
  <c r="AH340" i="2"/>
  <c r="AI340" i="2"/>
  <c r="AH341" i="2"/>
  <c r="AI341" i="2"/>
  <c r="AH342" i="2"/>
  <c r="AI342" i="2"/>
  <c r="AH343" i="2"/>
  <c r="AI343" i="2"/>
  <c r="AH344" i="2"/>
  <c r="AI344" i="2"/>
  <c r="AH345" i="2"/>
  <c r="AI345" i="2"/>
  <c r="AH346" i="2"/>
  <c r="AI346" i="2"/>
  <c r="AH347" i="2"/>
  <c r="AI347" i="2"/>
  <c r="AH348" i="2"/>
  <c r="AI348" i="2"/>
  <c r="AH349" i="2"/>
  <c r="AI349" i="2"/>
  <c r="AH350" i="2"/>
  <c r="AI350" i="2"/>
  <c r="AH351" i="2"/>
  <c r="AI351" i="2"/>
  <c r="AH352" i="2"/>
  <c r="AI352" i="2"/>
  <c r="AH353" i="2"/>
  <c r="AI353" i="2"/>
  <c r="AH354" i="2"/>
  <c r="AI354" i="2"/>
  <c r="AH355" i="2"/>
  <c r="AI355" i="2"/>
  <c r="AH356" i="2"/>
  <c r="AI356" i="2"/>
  <c r="AH357" i="2"/>
  <c r="AI357" i="2"/>
  <c r="AH358" i="2"/>
  <c r="AI358" i="2"/>
  <c r="AH359" i="2"/>
  <c r="AI359" i="2"/>
  <c r="AH360" i="2"/>
  <c r="AI360" i="2"/>
  <c r="AH361" i="2"/>
  <c r="AI361" i="2"/>
  <c r="AH362" i="2"/>
  <c r="AI362" i="2"/>
  <c r="AH363" i="2"/>
  <c r="AI363" i="2"/>
  <c r="AH364" i="2"/>
  <c r="AI364" i="2"/>
  <c r="AH365" i="2"/>
  <c r="AI365" i="2"/>
  <c r="AH366" i="2"/>
  <c r="AI366" i="2"/>
  <c r="AH367" i="2"/>
  <c r="AI367" i="2"/>
  <c r="AH368" i="2"/>
  <c r="AI368" i="2"/>
  <c r="AH369" i="2"/>
  <c r="AI369" i="2"/>
  <c r="AH370" i="2"/>
  <c r="AI370" i="2"/>
  <c r="AH371" i="2"/>
  <c r="AI371" i="2"/>
  <c r="AH372" i="2"/>
  <c r="AI372" i="2"/>
  <c r="AH373" i="2"/>
  <c r="AI373" i="2"/>
  <c r="AH374" i="2"/>
  <c r="AI374" i="2"/>
  <c r="AH375" i="2"/>
  <c r="AI375" i="2"/>
  <c r="AH377" i="2"/>
  <c r="AI377" i="2"/>
  <c r="AH378" i="2"/>
  <c r="AI378" i="2"/>
  <c r="AI248" i="2"/>
  <c r="AH248" i="2"/>
  <c r="AH236" i="2"/>
  <c r="AI236" i="2"/>
  <c r="AH237" i="2"/>
  <c r="AI237" i="2"/>
  <c r="AH238" i="2"/>
  <c r="AI238" i="2"/>
  <c r="AH239" i="2"/>
  <c r="AI239" i="2"/>
  <c r="AH240" i="2"/>
  <c r="AI240" i="2"/>
  <c r="AH243" i="2"/>
  <c r="AI243" i="2"/>
  <c r="AH244" i="2"/>
  <c r="AI244" i="2"/>
  <c r="AH245" i="2"/>
  <c r="AI245" i="2"/>
  <c r="AI235" i="2"/>
  <c r="AH235" i="2"/>
  <c r="AH216" i="2"/>
  <c r="AI216" i="2"/>
  <c r="AH217" i="2"/>
  <c r="AI217" i="2"/>
  <c r="AH218" i="2"/>
  <c r="AI218" i="2"/>
  <c r="AH219" i="2"/>
  <c r="AI219" i="2"/>
  <c r="AH220" i="2"/>
  <c r="AI220" i="2"/>
  <c r="AH221" i="2"/>
  <c r="AI221" i="2"/>
  <c r="AH222" i="2"/>
  <c r="AI222" i="2"/>
  <c r="AH223" i="2"/>
  <c r="AI223" i="2"/>
  <c r="AH224" i="2"/>
  <c r="AI224" i="2"/>
  <c r="AH225" i="2"/>
  <c r="AI225" i="2"/>
  <c r="AH226" i="2"/>
  <c r="AI226" i="2"/>
  <c r="AH227" i="2"/>
  <c r="AI227" i="2"/>
  <c r="AH228" i="2"/>
  <c r="AI228" i="2"/>
  <c r="AH229" i="2"/>
  <c r="AI229" i="2"/>
  <c r="AH230" i="2"/>
  <c r="AI230" i="2"/>
  <c r="AH233" i="2"/>
  <c r="AI233" i="2"/>
  <c r="AI215" i="2"/>
  <c r="AH215" i="2"/>
  <c r="AH197" i="2"/>
  <c r="AI197" i="2"/>
  <c r="AH198" i="2"/>
  <c r="AI198" i="2"/>
  <c r="AH199" i="2"/>
  <c r="AI199" i="2"/>
  <c r="AH200" i="2"/>
  <c r="AI200" i="2"/>
  <c r="AH201" i="2"/>
  <c r="AI201" i="2"/>
  <c r="AH202" i="2"/>
  <c r="AI202" i="2"/>
  <c r="AH203" i="2"/>
  <c r="AI203" i="2"/>
  <c r="AH204" i="2"/>
  <c r="AI204" i="2"/>
  <c r="AH205" i="2"/>
  <c r="AI205" i="2"/>
  <c r="AH206" i="2"/>
  <c r="AI206" i="2"/>
  <c r="AH207" i="2"/>
  <c r="AI207" i="2"/>
  <c r="AH208" i="2"/>
  <c r="AI208" i="2"/>
  <c r="AH210" i="2"/>
  <c r="AI210" i="2"/>
  <c r="AH211" i="2"/>
  <c r="AI211" i="2"/>
  <c r="AH213" i="2"/>
  <c r="AI213" i="2"/>
  <c r="AI196" i="2"/>
  <c r="AH196" i="2"/>
  <c r="AH166" i="2"/>
  <c r="AI166" i="2"/>
  <c r="AH167" i="2"/>
  <c r="AI167" i="2"/>
  <c r="AH168" i="2"/>
  <c r="AI168" i="2"/>
  <c r="AH185" i="2"/>
  <c r="AI185" i="2"/>
  <c r="AH186" i="2"/>
  <c r="AI186" i="2"/>
  <c r="AH187" i="2"/>
  <c r="AI187" i="2"/>
  <c r="AH188" i="2"/>
  <c r="AI188" i="2"/>
  <c r="AH189" i="2"/>
  <c r="AI189" i="2"/>
  <c r="AH190" i="2"/>
  <c r="AI190" i="2"/>
  <c r="AH193" i="2"/>
  <c r="AI193" i="2"/>
  <c r="AH194" i="2"/>
  <c r="AI194" i="2"/>
  <c r="AI165" i="2"/>
  <c r="AH165" i="2"/>
  <c r="AH143" i="2"/>
  <c r="AI143" i="2"/>
  <c r="AH144" i="2"/>
  <c r="AI144" i="2"/>
  <c r="AH145" i="2"/>
  <c r="AI145" i="2"/>
  <c r="AH146" i="2"/>
  <c r="AI146" i="2"/>
  <c r="AH147" i="2"/>
  <c r="AI147" i="2"/>
  <c r="AH148" i="2"/>
  <c r="AI148" i="2"/>
  <c r="AH149" i="2"/>
  <c r="AI149" i="2"/>
  <c r="AH150" i="2"/>
  <c r="AI150" i="2"/>
  <c r="AH151" i="2"/>
  <c r="AI151" i="2"/>
  <c r="AH152" i="2"/>
  <c r="AI152" i="2"/>
  <c r="AH153" i="2"/>
  <c r="AI153" i="2"/>
  <c r="AH154" i="2"/>
  <c r="AI154" i="2"/>
  <c r="AH155" i="2"/>
  <c r="AI155" i="2"/>
  <c r="AH156" i="2"/>
  <c r="AI156" i="2"/>
  <c r="AH157" i="2"/>
  <c r="AI157" i="2"/>
  <c r="AH158" i="2"/>
  <c r="AI158" i="2"/>
  <c r="AI142" i="2"/>
  <c r="AH142" i="2"/>
  <c r="AH128" i="2"/>
  <c r="AI128" i="2"/>
  <c r="AH129" i="2"/>
  <c r="AI129" i="2"/>
  <c r="AH130" i="2"/>
  <c r="AI130" i="2"/>
  <c r="AH131" i="2"/>
  <c r="AI131" i="2"/>
  <c r="AH132" i="2"/>
  <c r="AI132" i="2"/>
  <c r="AH133" i="2"/>
  <c r="AI133" i="2"/>
  <c r="AH134" i="2"/>
  <c r="AI134" i="2"/>
  <c r="AH135" i="2"/>
  <c r="AI135" i="2"/>
  <c r="AH136" i="2"/>
  <c r="AI136" i="2"/>
  <c r="AH140" i="2"/>
  <c r="AI140" i="2"/>
  <c r="AI127" i="2"/>
  <c r="AH127" i="2"/>
  <c r="AH118" i="2"/>
  <c r="AI118" i="2"/>
  <c r="AH119" i="2"/>
  <c r="AI119" i="2"/>
  <c r="AH120" i="2"/>
  <c r="AI120" i="2"/>
  <c r="AH121" i="2"/>
  <c r="AI121" i="2"/>
  <c r="AH122" i="2"/>
  <c r="AI122" i="2"/>
  <c r="AH123" i="2"/>
  <c r="AI123" i="2"/>
  <c r="AH125" i="2"/>
  <c r="AI125" i="2"/>
  <c r="AI117" i="2"/>
  <c r="AH117" i="2"/>
  <c r="AH93" i="2"/>
  <c r="AI93" i="2"/>
  <c r="AH94" i="2"/>
  <c r="AI94" i="2"/>
  <c r="AH95" i="2"/>
  <c r="AI95" i="2"/>
  <c r="AH96" i="2"/>
  <c r="AI96" i="2"/>
  <c r="AH97" i="2"/>
  <c r="AI97" i="2"/>
  <c r="AH98" i="2"/>
  <c r="AI98" i="2"/>
  <c r="AH99" i="2"/>
  <c r="AI99" i="2"/>
  <c r="AH100" i="2"/>
  <c r="AI100" i="2"/>
  <c r="AH101" i="2"/>
  <c r="AI101" i="2"/>
  <c r="AH102" i="2"/>
  <c r="AI102" i="2"/>
  <c r="AH103" i="2"/>
  <c r="AI103" i="2"/>
  <c r="AH104" i="2"/>
  <c r="AI104" i="2"/>
  <c r="AH105" i="2"/>
  <c r="AI105" i="2"/>
  <c r="AH106" i="2"/>
  <c r="AI106" i="2"/>
  <c r="AH107" i="2"/>
  <c r="AI107" i="2"/>
  <c r="AH108" i="2"/>
  <c r="AI108" i="2"/>
  <c r="AH109" i="2"/>
  <c r="AI109" i="2"/>
  <c r="AH110" i="2"/>
  <c r="AI110" i="2"/>
  <c r="AH115" i="2"/>
  <c r="AI115" i="2"/>
  <c r="AI92" i="2"/>
  <c r="AH92" i="2"/>
  <c r="AH84" i="2"/>
  <c r="AI84" i="2"/>
  <c r="AH85" i="2"/>
  <c r="AI85" i="2"/>
  <c r="AH86" i="2"/>
  <c r="AI86" i="2"/>
  <c r="AH87" i="2"/>
  <c r="AI87" i="2"/>
  <c r="AH88" i="2"/>
  <c r="AI88" i="2"/>
  <c r="AH89" i="2"/>
  <c r="AI89" i="2"/>
  <c r="AI83" i="2"/>
  <c r="AH83" i="2"/>
  <c r="AH68" i="2"/>
  <c r="AI68" i="2"/>
  <c r="AH69" i="2"/>
  <c r="AI69" i="2"/>
  <c r="AH70" i="2"/>
  <c r="AI70" i="2"/>
  <c r="AH71" i="2"/>
  <c r="AI71" i="2"/>
  <c r="AH72" i="2"/>
  <c r="AI72" i="2"/>
  <c r="AH73" i="2"/>
  <c r="AI73" i="2"/>
  <c r="AH74" i="2"/>
  <c r="AI74" i="2"/>
  <c r="AH75" i="2"/>
  <c r="AI75" i="2"/>
  <c r="AH79" i="2"/>
  <c r="AI79" i="2"/>
  <c r="AH80" i="2"/>
  <c r="AI80" i="2"/>
  <c r="AH81" i="2"/>
  <c r="AI81" i="2"/>
  <c r="AI67" i="2"/>
  <c r="AH67" i="2"/>
  <c r="AH64" i="2"/>
  <c r="AI64" i="2"/>
  <c r="AH65" i="2"/>
  <c r="AI65" i="2"/>
  <c r="AI63" i="2"/>
  <c r="AH63" i="2"/>
  <c r="AH59" i="2"/>
  <c r="AI59" i="2"/>
  <c r="AH60" i="2"/>
  <c r="AI60" i="2"/>
  <c r="AH61" i="2"/>
  <c r="AI61" i="2"/>
  <c r="AI58" i="2"/>
  <c r="AH58" i="2"/>
  <c r="AI17" i="2"/>
  <c r="AH17" i="2"/>
  <c r="AH13" i="2"/>
  <c r="AI13" i="2"/>
  <c r="AH14" i="2"/>
  <c r="AI14" i="2"/>
  <c r="AH15" i="2"/>
  <c r="AI15" i="2"/>
  <c r="AI9" i="2"/>
  <c r="AH9" i="2" l="1"/>
  <c r="G9" i="2"/>
  <c r="AH539" i="2"/>
  <c r="AH538" i="2"/>
  <c r="AI538" i="2"/>
  <c r="AI539" i="2"/>
  <c r="Z210" i="2"/>
  <c r="Z229" i="2"/>
  <c r="J229" i="2"/>
  <c r="Z520" i="2"/>
  <c r="J520" i="2"/>
  <c r="Z519" i="2"/>
  <c r="Z518" i="2"/>
  <c r="I518" i="2"/>
  <c r="H518" i="2"/>
  <c r="Z517" i="2"/>
  <c r="H517" i="2"/>
  <c r="Z516" i="2"/>
  <c r="H516" i="2"/>
  <c r="Z515" i="2"/>
  <c r="I515" i="2"/>
  <c r="Z514" i="2"/>
  <c r="I514" i="2"/>
  <c r="H514" i="2"/>
  <c r="Z513" i="2"/>
  <c r="H513" i="2"/>
  <c r="Z512" i="2"/>
  <c r="Z479" i="2"/>
  <c r="Z374" i="2"/>
  <c r="J374" i="2"/>
  <c r="Z373" i="2"/>
  <c r="I373" i="2"/>
  <c r="Z372" i="2"/>
  <c r="I372" i="2"/>
  <c r="H372" i="2"/>
  <c r="Z371" i="2"/>
  <c r="H371" i="2"/>
  <c r="Z370" i="2"/>
  <c r="J370" i="2"/>
  <c r="Z369" i="2"/>
  <c r="I369" i="2"/>
  <c r="Z228" i="2"/>
  <c r="I228" i="2"/>
  <c r="Z109" i="2"/>
  <c r="I110" i="2"/>
  <c r="Z110" i="2"/>
  <c r="Z87" i="2"/>
  <c r="H87" i="2"/>
  <c r="Z47" i="2"/>
  <c r="Z41" i="2"/>
  <c r="I41" i="2"/>
  <c r="Z40" i="2"/>
  <c r="I40" i="2"/>
  <c r="H40" i="2"/>
  <c r="H48" i="2"/>
  <c r="I48" i="2"/>
  <c r="Z48" i="2"/>
  <c r="H49" i="2"/>
  <c r="I49" i="2"/>
  <c r="Z49" i="2"/>
  <c r="I50" i="2"/>
  <c r="Z50" i="2"/>
  <c r="Z522" i="2"/>
  <c r="Z521" i="2"/>
  <c r="I521" i="2"/>
  <c r="Z511" i="2"/>
  <c r="I511" i="2"/>
  <c r="H511" i="2"/>
  <c r="Z510" i="2"/>
  <c r="H510" i="2"/>
  <c r="Z509" i="2"/>
  <c r="H509" i="2"/>
  <c r="Z508" i="2"/>
  <c r="I508" i="2"/>
  <c r="Z527" i="2"/>
  <c r="H527" i="2"/>
  <c r="Z524" i="2"/>
  <c r="Z523" i="2"/>
  <c r="I523" i="2"/>
  <c r="H523" i="2"/>
  <c r="AI540" i="2" l="1"/>
  <c r="N15" i="2" s="1"/>
  <c r="AH540" i="2"/>
  <c r="N14" i="2" s="1"/>
  <c r="J210" i="2"/>
  <c r="J228" i="2"/>
  <c r="G524" i="2"/>
  <c r="AJ524" i="2" s="1"/>
  <c r="G519" i="2"/>
  <c r="AJ519" i="2" s="1"/>
  <c r="G527" i="2"/>
  <c r="AJ527" i="2" s="1"/>
  <c r="H228" i="2"/>
  <c r="J479" i="2"/>
  <c r="G516" i="2"/>
  <c r="AJ516" i="2" s="1"/>
  <c r="G517" i="2"/>
  <c r="AJ517" i="2" s="1"/>
  <c r="I524" i="2"/>
  <c r="G87" i="2"/>
  <c r="AJ87" i="2" s="1"/>
  <c r="G210" i="2"/>
  <c r="AJ210" i="2" s="1"/>
  <c r="I527" i="2"/>
  <c r="H229" i="2"/>
  <c r="H210" i="2"/>
  <c r="G229" i="2"/>
  <c r="AJ229" i="2" s="1"/>
  <c r="J524" i="2"/>
  <c r="J522" i="2"/>
  <c r="J109" i="2"/>
  <c r="J512" i="2"/>
  <c r="I210" i="2"/>
  <c r="I229" i="2"/>
  <c r="J41" i="2"/>
  <c r="G508" i="2"/>
  <c r="AJ508" i="2" s="1"/>
  <c r="G512" i="2"/>
  <c r="AJ512" i="2" s="1"/>
  <c r="G513" i="2"/>
  <c r="AJ513" i="2" s="1"/>
  <c r="G515" i="2"/>
  <c r="AJ515" i="2" s="1"/>
  <c r="I517" i="2"/>
  <c r="G520" i="2"/>
  <c r="AJ520" i="2" s="1"/>
  <c r="J527" i="2"/>
  <c r="J521" i="2"/>
  <c r="G522" i="2"/>
  <c r="AJ522" i="2" s="1"/>
  <c r="J87" i="2"/>
  <c r="G109" i="2"/>
  <c r="AJ109" i="2" s="1"/>
  <c r="G374" i="2"/>
  <c r="AJ374" i="2" s="1"/>
  <c r="H479" i="2"/>
  <c r="H512" i="2"/>
  <c r="I513" i="2"/>
  <c r="I519" i="2"/>
  <c r="H520" i="2"/>
  <c r="G509" i="2"/>
  <c r="AJ509" i="2" s="1"/>
  <c r="G479" i="2"/>
  <c r="AJ479" i="2" s="1"/>
  <c r="H524" i="2"/>
  <c r="J508" i="2"/>
  <c r="H109" i="2"/>
  <c r="G228" i="2"/>
  <c r="AJ228" i="2" s="1"/>
  <c r="J515" i="2"/>
  <c r="J516" i="2"/>
  <c r="J519" i="2"/>
  <c r="J514" i="2"/>
  <c r="J518" i="2"/>
  <c r="G510" i="2"/>
  <c r="AJ510" i="2" s="1"/>
  <c r="I512" i="2"/>
  <c r="J513" i="2"/>
  <c r="G514" i="2"/>
  <c r="AJ514" i="2" s="1"/>
  <c r="H515" i="2"/>
  <c r="I516" i="2"/>
  <c r="J517" i="2"/>
  <c r="G518" i="2"/>
  <c r="AJ518" i="2" s="1"/>
  <c r="H519" i="2"/>
  <c r="I520" i="2"/>
  <c r="I509" i="2"/>
  <c r="I510" i="2"/>
  <c r="G521" i="2"/>
  <c r="AJ521" i="2" s="1"/>
  <c r="J509" i="2"/>
  <c r="H522" i="2"/>
  <c r="J373" i="2"/>
  <c r="G47" i="2"/>
  <c r="AJ47" i="2" s="1"/>
  <c r="G369" i="2"/>
  <c r="AJ369" i="2" s="1"/>
  <c r="G370" i="2"/>
  <c r="AJ370" i="2" s="1"/>
  <c r="G371" i="2"/>
  <c r="AJ371" i="2" s="1"/>
  <c r="I479" i="2"/>
  <c r="H370" i="2"/>
  <c r="I371" i="2"/>
  <c r="G373" i="2"/>
  <c r="AJ373" i="2" s="1"/>
  <c r="J369" i="2"/>
  <c r="H374" i="2"/>
  <c r="H369" i="2"/>
  <c r="I370" i="2"/>
  <c r="J371" i="2"/>
  <c r="G372" i="2"/>
  <c r="AJ372" i="2" s="1"/>
  <c r="H373" i="2"/>
  <c r="I374" i="2"/>
  <c r="J372" i="2"/>
  <c r="J50" i="2"/>
  <c r="J110" i="2"/>
  <c r="G48" i="2"/>
  <c r="AJ48" i="2" s="1"/>
  <c r="H110" i="2"/>
  <c r="I109" i="2"/>
  <c r="G110" i="2"/>
  <c r="AJ110" i="2" s="1"/>
  <c r="J48" i="2"/>
  <c r="J47" i="2"/>
  <c r="I87" i="2"/>
  <c r="J49" i="2"/>
  <c r="G41" i="2"/>
  <c r="AJ41" i="2" s="1"/>
  <c r="H47" i="2"/>
  <c r="J40" i="2"/>
  <c r="H50" i="2"/>
  <c r="G49" i="2"/>
  <c r="AJ49" i="2" s="1"/>
  <c r="G40" i="2"/>
  <c r="AJ40" i="2" s="1"/>
  <c r="H41" i="2"/>
  <c r="I47" i="2"/>
  <c r="G50" i="2"/>
  <c r="AJ50" i="2" s="1"/>
  <c r="J510" i="2"/>
  <c r="G511" i="2"/>
  <c r="AJ511" i="2" s="1"/>
  <c r="H521" i="2"/>
  <c r="I522" i="2"/>
  <c r="J511" i="2"/>
  <c r="H508" i="2"/>
  <c r="J523" i="2"/>
  <c r="G523" i="2"/>
  <c r="AJ523" i="2" s="1"/>
  <c r="H17" i="2" l="1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2" i="2"/>
  <c r="H58" i="2"/>
  <c r="H59" i="2"/>
  <c r="H60" i="2"/>
  <c r="H61" i="2"/>
  <c r="H63" i="2"/>
  <c r="H64" i="2"/>
  <c r="H65" i="2"/>
  <c r="H67" i="2"/>
  <c r="G14" i="2"/>
  <c r="AJ14" i="2" s="1"/>
  <c r="H13" i="2"/>
  <c r="H14" i="2"/>
  <c r="H15" i="2"/>
  <c r="H9" i="2"/>
  <c r="G528" i="2" l="1"/>
  <c r="AJ528" i="2" s="1"/>
  <c r="G507" i="2"/>
  <c r="AJ507" i="2" s="1"/>
  <c r="G505" i="2"/>
  <c r="AJ505" i="2" s="1"/>
  <c r="G503" i="2"/>
  <c r="AJ503" i="2" s="1"/>
  <c r="G501" i="2"/>
  <c r="AJ501" i="2" s="1"/>
  <c r="G499" i="2"/>
  <c r="AJ499" i="2" s="1"/>
  <c r="G497" i="2"/>
  <c r="AJ497" i="2" s="1"/>
  <c r="G495" i="2"/>
  <c r="AJ495" i="2" s="1"/>
  <c r="G493" i="2"/>
  <c r="AJ493" i="2" s="1"/>
  <c r="G491" i="2"/>
  <c r="AJ491" i="2" s="1"/>
  <c r="G489" i="2"/>
  <c r="AJ489" i="2" s="1"/>
  <c r="G487" i="2"/>
  <c r="AJ487" i="2" s="1"/>
  <c r="G485" i="2"/>
  <c r="AJ485" i="2" s="1"/>
  <c r="G482" i="2"/>
  <c r="AJ482" i="2" s="1"/>
  <c r="G477" i="2"/>
  <c r="AJ477" i="2" s="1"/>
  <c r="G475" i="2"/>
  <c r="AJ475" i="2" s="1"/>
  <c r="G473" i="2"/>
  <c r="AJ473" i="2" s="1"/>
  <c r="G471" i="2"/>
  <c r="AJ471" i="2" s="1"/>
  <c r="G469" i="2"/>
  <c r="AJ469" i="2" s="1"/>
  <c r="G467" i="2"/>
  <c r="AJ467" i="2" s="1"/>
  <c r="G465" i="2"/>
  <c r="AJ465" i="2" s="1"/>
  <c r="G463" i="2"/>
  <c r="AJ463" i="2" s="1"/>
  <c r="G461" i="2"/>
  <c r="AJ461" i="2" s="1"/>
  <c r="G459" i="2"/>
  <c r="AJ459" i="2" s="1"/>
  <c r="G457" i="2"/>
  <c r="AJ457" i="2" s="1"/>
  <c r="G455" i="2"/>
  <c r="AJ455" i="2" s="1"/>
  <c r="G453" i="2"/>
  <c r="AJ453" i="2" s="1"/>
  <c r="G451" i="2"/>
  <c r="AJ451" i="2" s="1"/>
  <c r="G443" i="2"/>
  <c r="AJ443" i="2" s="1"/>
  <c r="G440" i="2"/>
  <c r="AJ440" i="2" s="1"/>
  <c r="G438" i="2"/>
  <c r="AJ438" i="2" s="1"/>
  <c r="G436" i="2"/>
  <c r="AJ436" i="2" s="1"/>
  <c r="G434" i="2"/>
  <c r="AJ434" i="2" s="1"/>
  <c r="G432" i="2"/>
  <c r="AJ432" i="2" s="1"/>
  <c r="G429" i="2"/>
  <c r="AJ429" i="2" s="1"/>
  <c r="G427" i="2"/>
  <c r="AJ427" i="2" s="1"/>
  <c r="G425" i="2"/>
  <c r="AJ425" i="2" s="1"/>
  <c r="G423" i="2"/>
  <c r="AJ423" i="2" s="1"/>
  <c r="G420" i="2"/>
  <c r="AJ420" i="2" s="1"/>
  <c r="G418" i="2"/>
  <c r="AJ418" i="2" s="1"/>
  <c r="G402" i="2"/>
  <c r="AJ402" i="2" s="1"/>
  <c r="G400" i="2"/>
  <c r="AJ400" i="2" s="1"/>
  <c r="G398" i="2"/>
  <c r="AJ398" i="2" s="1"/>
  <c r="G396" i="2"/>
  <c r="AJ396" i="2" s="1"/>
  <c r="G392" i="2"/>
  <c r="AJ392" i="2" s="1"/>
  <c r="G390" i="2"/>
  <c r="AJ390" i="2" s="1"/>
  <c r="G388" i="2"/>
  <c r="AJ388" i="2" s="1"/>
  <c r="G386" i="2"/>
  <c r="AJ386" i="2" s="1"/>
  <c r="G384" i="2"/>
  <c r="AJ384" i="2" s="1"/>
  <c r="G382" i="2"/>
  <c r="AJ382" i="2" s="1"/>
  <c r="G380" i="2"/>
  <c r="AJ380" i="2" s="1"/>
  <c r="G377" i="2"/>
  <c r="AJ377" i="2" s="1"/>
  <c r="G368" i="2"/>
  <c r="AJ368" i="2" s="1"/>
  <c r="G366" i="2"/>
  <c r="AJ366" i="2" s="1"/>
  <c r="G364" i="2"/>
  <c r="AJ364" i="2" s="1"/>
  <c r="G362" i="2"/>
  <c r="AJ362" i="2" s="1"/>
  <c r="G360" i="2"/>
  <c r="AJ360" i="2" s="1"/>
  <c r="G358" i="2"/>
  <c r="AJ358" i="2" s="1"/>
  <c r="G356" i="2"/>
  <c r="AJ356" i="2" s="1"/>
  <c r="G354" i="2"/>
  <c r="AJ354" i="2" s="1"/>
  <c r="G352" i="2"/>
  <c r="AJ352" i="2" s="1"/>
  <c r="G350" i="2"/>
  <c r="AJ350" i="2" s="1"/>
  <c r="G348" i="2"/>
  <c r="AJ348" i="2" s="1"/>
  <c r="G346" i="2"/>
  <c r="AJ346" i="2" s="1"/>
  <c r="G344" i="2"/>
  <c r="AJ344" i="2" s="1"/>
  <c r="G342" i="2"/>
  <c r="AJ342" i="2" s="1"/>
  <c r="G340" i="2"/>
  <c r="AJ340" i="2" s="1"/>
  <c r="G338" i="2"/>
  <c r="AJ338" i="2" s="1"/>
  <c r="G336" i="2"/>
  <c r="AJ336" i="2" s="1"/>
  <c r="G334" i="2"/>
  <c r="AJ334" i="2" s="1"/>
  <c r="G332" i="2"/>
  <c r="AJ332" i="2" s="1"/>
  <c r="G330" i="2"/>
  <c r="AJ330" i="2" s="1"/>
  <c r="G328" i="2"/>
  <c r="AJ328" i="2" s="1"/>
  <c r="G326" i="2"/>
  <c r="AJ326" i="2" s="1"/>
  <c r="G324" i="2"/>
  <c r="AJ324" i="2" s="1"/>
  <c r="G322" i="2"/>
  <c r="AJ322" i="2" s="1"/>
  <c r="G320" i="2"/>
  <c r="AJ320" i="2" s="1"/>
  <c r="G318" i="2"/>
  <c r="AJ318" i="2" s="1"/>
  <c r="G316" i="2"/>
  <c r="AJ316" i="2" s="1"/>
  <c r="G314" i="2"/>
  <c r="AJ314" i="2" s="1"/>
  <c r="G312" i="2"/>
  <c r="AJ312" i="2" s="1"/>
  <c r="G310" i="2"/>
  <c r="AJ310" i="2" s="1"/>
  <c r="G308" i="2"/>
  <c r="AJ308" i="2" s="1"/>
  <c r="G306" i="2"/>
  <c r="AJ306" i="2" s="1"/>
  <c r="G304" i="2"/>
  <c r="AJ304" i="2" s="1"/>
  <c r="G302" i="2"/>
  <c r="AJ302" i="2" s="1"/>
  <c r="G300" i="2"/>
  <c r="AJ300" i="2" s="1"/>
  <c r="G298" i="2"/>
  <c r="AJ298" i="2" s="1"/>
  <c r="G296" i="2"/>
  <c r="AJ296" i="2" s="1"/>
  <c r="G294" i="2"/>
  <c r="AJ294" i="2" s="1"/>
  <c r="G292" i="2"/>
  <c r="AJ292" i="2" s="1"/>
  <c r="G290" i="2"/>
  <c r="AJ290" i="2" s="1"/>
  <c r="G288" i="2"/>
  <c r="AJ288" i="2" s="1"/>
  <c r="G286" i="2"/>
  <c r="AJ286" i="2" s="1"/>
  <c r="G284" i="2"/>
  <c r="AJ284" i="2" s="1"/>
  <c r="G282" i="2"/>
  <c r="AJ282" i="2" s="1"/>
  <c r="G280" i="2"/>
  <c r="AJ280" i="2" s="1"/>
  <c r="G278" i="2"/>
  <c r="AJ278" i="2" s="1"/>
  <c r="G276" i="2"/>
  <c r="AJ276" i="2" s="1"/>
  <c r="G274" i="2"/>
  <c r="AJ274" i="2" s="1"/>
  <c r="G272" i="2"/>
  <c r="AJ272" i="2" s="1"/>
  <c r="G270" i="2"/>
  <c r="AJ270" i="2" s="1"/>
  <c r="G268" i="2"/>
  <c r="AJ268" i="2" s="1"/>
  <c r="G266" i="2"/>
  <c r="AJ266" i="2" s="1"/>
  <c r="G264" i="2"/>
  <c r="AJ264" i="2" s="1"/>
  <c r="G262" i="2"/>
  <c r="AJ262" i="2" s="1"/>
  <c r="G260" i="2"/>
  <c r="AJ260" i="2" s="1"/>
  <c r="G258" i="2"/>
  <c r="AJ258" i="2" s="1"/>
  <c r="G256" i="2"/>
  <c r="AJ256" i="2" s="1"/>
  <c r="G254" i="2"/>
  <c r="AJ254" i="2" s="1"/>
  <c r="G252" i="2"/>
  <c r="AJ252" i="2" s="1"/>
  <c r="G250" i="2"/>
  <c r="AJ250" i="2" s="1"/>
  <c r="G248" i="2"/>
  <c r="AJ248" i="2" s="1"/>
  <c r="G244" i="2"/>
  <c r="AJ244" i="2" s="1"/>
  <c r="G240" i="2"/>
  <c r="AJ240" i="2" s="1"/>
  <c r="G238" i="2"/>
  <c r="AJ238" i="2" s="1"/>
  <c r="G236" i="2"/>
  <c r="AJ236" i="2" s="1"/>
  <c r="G233" i="2"/>
  <c r="AJ233" i="2" s="1"/>
  <c r="G227" i="2"/>
  <c r="AJ227" i="2" s="1"/>
  <c r="G225" i="2"/>
  <c r="AJ225" i="2" s="1"/>
  <c r="G223" i="2"/>
  <c r="AJ223" i="2" s="1"/>
  <c r="G221" i="2"/>
  <c r="AJ221" i="2" s="1"/>
  <c r="G219" i="2"/>
  <c r="AJ219" i="2" s="1"/>
  <c r="G217" i="2"/>
  <c r="AJ217" i="2" s="1"/>
  <c r="G215" i="2"/>
  <c r="AJ215" i="2" s="1"/>
  <c r="G211" i="2"/>
  <c r="AJ211" i="2" s="1"/>
  <c r="G207" i="2"/>
  <c r="AJ207" i="2" s="1"/>
  <c r="G205" i="2"/>
  <c r="AJ205" i="2" s="1"/>
  <c r="G203" i="2"/>
  <c r="AJ203" i="2" s="1"/>
  <c r="G201" i="2"/>
  <c r="AJ201" i="2" s="1"/>
  <c r="G199" i="2"/>
  <c r="AJ199" i="2" s="1"/>
  <c r="G197" i="2"/>
  <c r="AJ197" i="2" s="1"/>
  <c r="G194" i="2"/>
  <c r="AJ194" i="2" s="1"/>
  <c r="G190" i="2"/>
  <c r="AJ190" i="2" s="1"/>
  <c r="G188" i="2"/>
  <c r="AJ188" i="2" s="1"/>
  <c r="G186" i="2"/>
  <c r="AJ186" i="2" s="1"/>
  <c r="G168" i="2"/>
  <c r="AJ168" i="2" s="1"/>
  <c r="G166" i="2"/>
  <c r="AJ166" i="2" s="1"/>
  <c r="G158" i="2"/>
  <c r="AJ158" i="2" s="1"/>
  <c r="G156" i="2"/>
  <c r="AJ156" i="2" s="1"/>
  <c r="G154" i="2"/>
  <c r="AJ154" i="2" s="1"/>
  <c r="G152" i="2"/>
  <c r="AJ152" i="2" s="1"/>
  <c r="G150" i="2"/>
  <c r="AJ150" i="2" s="1"/>
  <c r="G148" i="2"/>
  <c r="AJ148" i="2" s="1"/>
  <c r="G146" i="2"/>
  <c r="AJ146" i="2" s="1"/>
  <c r="G144" i="2"/>
  <c r="AJ144" i="2" s="1"/>
  <c r="G142" i="2"/>
  <c r="AJ142" i="2" s="1"/>
  <c r="G136" i="2"/>
  <c r="AJ136" i="2" s="1"/>
  <c r="G134" i="2"/>
  <c r="AJ134" i="2" s="1"/>
  <c r="G132" i="2"/>
  <c r="AJ132" i="2" s="1"/>
  <c r="G130" i="2"/>
  <c r="AJ130" i="2" s="1"/>
  <c r="G128" i="2"/>
  <c r="AJ128" i="2" s="1"/>
  <c r="G125" i="2"/>
  <c r="AJ125" i="2" s="1"/>
  <c r="G122" i="2"/>
  <c r="AJ122" i="2" s="1"/>
  <c r="G120" i="2"/>
  <c r="AJ120" i="2" s="1"/>
  <c r="G118" i="2"/>
  <c r="AJ118" i="2" s="1"/>
  <c r="G115" i="2"/>
  <c r="AJ115" i="2" s="1"/>
  <c r="G108" i="2"/>
  <c r="AJ108" i="2" s="1"/>
  <c r="G106" i="2"/>
  <c r="AJ106" i="2" s="1"/>
  <c r="G104" i="2"/>
  <c r="AJ104" i="2" s="1"/>
  <c r="G102" i="2"/>
  <c r="AJ102" i="2" s="1"/>
  <c r="G100" i="2"/>
  <c r="AJ100" i="2" s="1"/>
  <c r="G98" i="2"/>
  <c r="AJ98" i="2" s="1"/>
  <c r="G96" i="2"/>
  <c r="AJ96" i="2" s="1"/>
  <c r="G94" i="2"/>
  <c r="AJ94" i="2" s="1"/>
  <c r="G92" i="2"/>
  <c r="AJ92" i="2" s="1"/>
  <c r="G88" i="2"/>
  <c r="AJ88" i="2" s="1"/>
  <c r="G85" i="2"/>
  <c r="AJ85" i="2" s="1"/>
  <c r="G83" i="2"/>
  <c r="AJ83" i="2" s="1"/>
  <c r="G80" i="2"/>
  <c r="AJ80" i="2" s="1"/>
  <c r="G75" i="2"/>
  <c r="AJ75" i="2" s="1"/>
  <c r="G73" i="2"/>
  <c r="AJ73" i="2" s="1"/>
  <c r="G69" i="2"/>
  <c r="AJ69" i="2" s="1"/>
  <c r="G64" i="2"/>
  <c r="AJ64" i="2" s="1"/>
  <c r="G61" i="2"/>
  <c r="AJ61" i="2" s="1"/>
  <c r="G59" i="2"/>
  <c r="AJ59" i="2" s="1"/>
  <c r="G52" i="2"/>
  <c r="AJ52" i="2" s="1"/>
  <c r="G39" i="2"/>
  <c r="AJ39" i="2" s="1"/>
  <c r="G37" i="2"/>
  <c r="AJ37" i="2" s="1"/>
  <c r="G35" i="2"/>
  <c r="AJ35" i="2" s="1"/>
  <c r="G33" i="2"/>
  <c r="AJ33" i="2" s="1"/>
  <c r="G31" i="2"/>
  <c r="AJ31" i="2" s="1"/>
  <c r="G29" i="2"/>
  <c r="AJ29" i="2" s="1"/>
  <c r="G27" i="2"/>
  <c r="AJ27" i="2" s="1"/>
  <c r="G25" i="2"/>
  <c r="AJ25" i="2" s="1"/>
  <c r="G23" i="2"/>
  <c r="AJ23" i="2" s="1"/>
  <c r="G21" i="2"/>
  <c r="AJ21" i="2" s="1"/>
  <c r="G19" i="2"/>
  <c r="AJ19" i="2" s="1"/>
  <c r="G17" i="2"/>
  <c r="AJ17" i="2" s="1"/>
  <c r="G506" i="2"/>
  <c r="AJ506" i="2" s="1"/>
  <c r="G504" i="2"/>
  <c r="AJ504" i="2" s="1"/>
  <c r="G502" i="2"/>
  <c r="AJ502" i="2" s="1"/>
  <c r="G500" i="2"/>
  <c r="AJ500" i="2" s="1"/>
  <c r="G498" i="2"/>
  <c r="AJ498" i="2" s="1"/>
  <c r="G496" i="2"/>
  <c r="AJ496" i="2" s="1"/>
  <c r="G494" i="2"/>
  <c r="AJ494" i="2" s="1"/>
  <c r="G492" i="2"/>
  <c r="AJ492" i="2" s="1"/>
  <c r="G490" i="2"/>
  <c r="AJ490" i="2" s="1"/>
  <c r="G488" i="2"/>
  <c r="AJ488" i="2" s="1"/>
  <c r="G486" i="2"/>
  <c r="AJ486" i="2" s="1"/>
  <c r="G483" i="2"/>
  <c r="AJ483" i="2" s="1"/>
  <c r="G478" i="2"/>
  <c r="AJ478" i="2" s="1"/>
  <c r="G476" i="2"/>
  <c r="AJ476" i="2" s="1"/>
  <c r="G474" i="2"/>
  <c r="AJ474" i="2" s="1"/>
  <c r="G472" i="2"/>
  <c r="AJ472" i="2" s="1"/>
  <c r="G470" i="2"/>
  <c r="AJ470" i="2" s="1"/>
  <c r="G468" i="2"/>
  <c r="AJ468" i="2" s="1"/>
  <c r="G466" i="2"/>
  <c r="AJ466" i="2" s="1"/>
  <c r="G464" i="2"/>
  <c r="AJ464" i="2" s="1"/>
  <c r="G462" i="2"/>
  <c r="AJ462" i="2" s="1"/>
  <c r="G460" i="2"/>
  <c r="AJ460" i="2" s="1"/>
  <c r="G458" i="2"/>
  <c r="AJ458" i="2" s="1"/>
  <c r="G456" i="2"/>
  <c r="AJ456" i="2" s="1"/>
  <c r="G454" i="2"/>
  <c r="AJ454" i="2" s="1"/>
  <c r="G452" i="2"/>
  <c r="AJ452" i="2" s="1"/>
  <c r="G450" i="2"/>
  <c r="AJ450" i="2" s="1"/>
  <c r="G441" i="2"/>
  <c r="AJ441" i="2" s="1"/>
  <c r="G439" i="2"/>
  <c r="AJ439" i="2" s="1"/>
  <c r="G437" i="2"/>
  <c r="AJ437" i="2" s="1"/>
  <c r="G435" i="2"/>
  <c r="AJ435" i="2" s="1"/>
  <c r="G433" i="2"/>
  <c r="AJ433" i="2" s="1"/>
  <c r="G430" i="2"/>
  <c r="AJ430" i="2" s="1"/>
  <c r="G428" i="2"/>
  <c r="AJ428" i="2" s="1"/>
  <c r="G426" i="2"/>
  <c r="AJ426" i="2" s="1"/>
  <c r="G424" i="2"/>
  <c r="AJ424" i="2" s="1"/>
  <c r="G421" i="2"/>
  <c r="AJ421" i="2" s="1"/>
  <c r="G419" i="2"/>
  <c r="AJ419" i="2" s="1"/>
  <c r="G404" i="2"/>
  <c r="AJ404" i="2" s="1"/>
  <c r="G401" i="2"/>
  <c r="AJ401" i="2" s="1"/>
  <c r="G399" i="2"/>
  <c r="AJ399" i="2" s="1"/>
  <c r="G397" i="2"/>
  <c r="AJ397" i="2" s="1"/>
  <c r="G395" i="2"/>
  <c r="AJ395" i="2" s="1"/>
  <c r="G391" i="2"/>
  <c r="AJ391" i="2" s="1"/>
  <c r="G389" i="2"/>
  <c r="AJ389" i="2" s="1"/>
  <c r="G387" i="2"/>
  <c r="AJ387" i="2" s="1"/>
  <c r="G385" i="2"/>
  <c r="AJ385" i="2" s="1"/>
  <c r="G383" i="2"/>
  <c r="AJ383" i="2" s="1"/>
  <c r="G381" i="2"/>
  <c r="AJ381" i="2" s="1"/>
  <c r="G378" i="2"/>
  <c r="AJ378" i="2" s="1"/>
  <c r="G375" i="2"/>
  <c r="AJ375" i="2" s="1"/>
  <c r="G367" i="2"/>
  <c r="AJ367" i="2" s="1"/>
  <c r="G365" i="2"/>
  <c r="AJ365" i="2" s="1"/>
  <c r="G363" i="2"/>
  <c r="AJ363" i="2" s="1"/>
  <c r="G361" i="2"/>
  <c r="AJ361" i="2" s="1"/>
  <c r="G359" i="2"/>
  <c r="AJ359" i="2" s="1"/>
  <c r="G357" i="2"/>
  <c r="AJ357" i="2" s="1"/>
  <c r="G355" i="2"/>
  <c r="AJ355" i="2" s="1"/>
  <c r="G353" i="2"/>
  <c r="AJ353" i="2" s="1"/>
  <c r="G351" i="2"/>
  <c r="AJ351" i="2" s="1"/>
  <c r="G349" i="2"/>
  <c r="AJ349" i="2" s="1"/>
  <c r="G347" i="2"/>
  <c r="AJ347" i="2" s="1"/>
  <c r="G345" i="2"/>
  <c r="AJ345" i="2" s="1"/>
  <c r="G343" i="2"/>
  <c r="AJ343" i="2" s="1"/>
  <c r="G341" i="2"/>
  <c r="AJ341" i="2" s="1"/>
  <c r="G339" i="2"/>
  <c r="AJ339" i="2" s="1"/>
  <c r="G337" i="2"/>
  <c r="AJ337" i="2" s="1"/>
  <c r="G335" i="2"/>
  <c r="AJ335" i="2" s="1"/>
  <c r="G333" i="2"/>
  <c r="AJ333" i="2" s="1"/>
  <c r="G331" i="2"/>
  <c r="AJ331" i="2" s="1"/>
  <c r="G329" i="2"/>
  <c r="AJ329" i="2" s="1"/>
  <c r="G327" i="2"/>
  <c r="AJ327" i="2" s="1"/>
  <c r="G325" i="2"/>
  <c r="AJ325" i="2" s="1"/>
  <c r="G323" i="2"/>
  <c r="AJ323" i="2" s="1"/>
  <c r="G321" i="2"/>
  <c r="AJ321" i="2" s="1"/>
  <c r="G319" i="2"/>
  <c r="AJ319" i="2" s="1"/>
  <c r="G317" i="2"/>
  <c r="AJ317" i="2" s="1"/>
  <c r="G315" i="2"/>
  <c r="AJ315" i="2" s="1"/>
  <c r="G313" i="2"/>
  <c r="AJ313" i="2" s="1"/>
  <c r="G311" i="2"/>
  <c r="AJ311" i="2" s="1"/>
  <c r="G309" i="2"/>
  <c r="AJ309" i="2" s="1"/>
  <c r="G307" i="2"/>
  <c r="AJ307" i="2" s="1"/>
  <c r="G305" i="2"/>
  <c r="AJ305" i="2" s="1"/>
  <c r="G303" i="2"/>
  <c r="AJ303" i="2" s="1"/>
  <c r="G301" i="2"/>
  <c r="AJ301" i="2" s="1"/>
  <c r="G299" i="2"/>
  <c r="AJ299" i="2" s="1"/>
  <c r="G297" i="2"/>
  <c r="AJ297" i="2" s="1"/>
  <c r="G295" i="2"/>
  <c r="AJ295" i="2" s="1"/>
  <c r="G293" i="2"/>
  <c r="AJ293" i="2" s="1"/>
  <c r="G291" i="2"/>
  <c r="AJ291" i="2" s="1"/>
  <c r="G289" i="2"/>
  <c r="AJ289" i="2" s="1"/>
  <c r="G287" i="2"/>
  <c r="AJ287" i="2" s="1"/>
  <c r="G285" i="2"/>
  <c r="AJ285" i="2" s="1"/>
  <c r="G283" i="2"/>
  <c r="AJ283" i="2" s="1"/>
  <c r="G281" i="2"/>
  <c r="AJ281" i="2" s="1"/>
  <c r="G279" i="2"/>
  <c r="AJ279" i="2" s="1"/>
  <c r="G277" i="2"/>
  <c r="AJ277" i="2" s="1"/>
  <c r="G275" i="2"/>
  <c r="AJ275" i="2" s="1"/>
  <c r="G273" i="2"/>
  <c r="AJ273" i="2" s="1"/>
  <c r="G271" i="2"/>
  <c r="AJ271" i="2" s="1"/>
  <c r="G269" i="2"/>
  <c r="AJ269" i="2" s="1"/>
  <c r="G267" i="2"/>
  <c r="AJ267" i="2" s="1"/>
  <c r="G265" i="2"/>
  <c r="AJ265" i="2" s="1"/>
  <c r="G263" i="2"/>
  <c r="AJ263" i="2" s="1"/>
  <c r="G261" i="2"/>
  <c r="AJ261" i="2" s="1"/>
  <c r="AJ9" i="2"/>
  <c r="G71" i="2"/>
  <c r="AJ71" i="2" s="1"/>
  <c r="G67" i="2"/>
  <c r="AJ67" i="2" s="1"/>
  <c r="G259" i="2"/>
  <c r="AJ259" i="2" s="1"/>
  <c r="G257" i="2"/>
  <c r="AJ257" i="2" s="1"/>
  <c r="G255" i="2"/>
  <c r="AJ255" i="2" s="1"/>
  <c r="G253" i="2"/>
  <c r="AJ253" i="2" s="1"/>
  <c r="G251" i="2"/>
  <c r="AJ251" i="2" s="1"/>
  <c r="G249" i="2"/>
  <c r="AJ249" i="2" s="1"/>
  <c r="G245" i="2"/>
  <c r="AJ245" i="2" s="1"/>
  <c r="G243" i="2"/>
  <c r="AJ243" i="2" s="1"/>
  <c r="G239" i="2"/>
  <c r="AJ239" i="2" s="1"/>
  <c r="G237" i="2"/>
  <c r="AJ237" i="2" s="1"/>
  <c r="G235" i="2"/>
  <c r="AJ235" i="2" s="1"/>
  <c r="G230" i="2"/>
  <c r="AJ230" i="2" s="1"/>
  <c r="G226" i="2"/>
  <c r="AJ226" i="2" s="1"/>
  <c r="G224" i="2"/>
  <c r="AJ224" i="2" s="1"/>
  <c r="G222" i="2"/>
  <c r="AJ222" i="2" s="1"/>
  <c r="G220" i="2"/>
  <c r="AJ220" i="2" s="1"/>
  <c r="G218" i="2"/>
  <c r="AJ218" i="2" s="1"/>
  <c r="G216" i="2"/>
  <c r="AJ216" i="2" s="1"/>
  <c r="G213" i="2"/>
  <c r="AJ213" i="2" s="1"/>
  <c r="G208" i="2"/>
  <c r="AJ208" i="2" s="1"/>
  <c r="G206" i="2"/>
  <c r="AJ206" i="2" s="1"/>
  <c r="G204" i="2"/>
  <c r="AJ204" i="2" s="1"/>
  <c r="G202" i="2"/>
  <c r="AJ202" i="2" s="1"/>
  <c r="G200" i="2"/>
  <c r="AJ200" i="2" s="1"/>
  <c r="G198" i="2"/>
  <c r="AJ198" i="2" s="1"/>
  <c r="G196" i="2"/>
  <c r="AJ196" i="2" s="1"/>
  <c r="G193" i="2"/>
  <c r="AJ193" i="2" s="1"/>
  <c r="G189" i="2"/>
  <c r="AJ189" i="2" s="1"/>
  <c r="G187" i="2"/>
  <c r="AJ187" i="2" s="1"/>
  <c r="G185" i="2"/>
  <c r="AJ185" i="2" s="1"/>
  <c r="G167" i="2"/>
  <c r="AJ167" i="2" s="1"/>
  <c r="G165" i="2"/>
  <c r="AJ165" i="2" s="1"/>
  <c r="G157" i="2"/>
  <c r="AJ157" i="2" s="1"/>
  <c r="G155" i="2"/>
  <c r="AJ155" i="2" s="1"/>
  <c r="G153" i="2"/>
  <c r="AJ153" i="2" s="1"/>
  <c r="G151" i="2"/>
  <c r="AJ151" i="2" s="1"/>
  <c r="G149" i="2"/>
  <c r="AJ149" i="2" s="1"/>
  <c r="G147" i="2"/>
  <c r="AJ147" i="2" s="1"/>
  <c r="G145" i="2"/>
  <c r="AJ145" i="2" s="1"/>
  <c r="G143" i="2"/>
  <c r="AJ143" i="2" s="1"/>
  <c r="G140" i="2"/>
  <c r="AJ140" i="2" s="1"/>
  <c r="G135" i="2"/>
  <c r="AJ135" i="2" s="1"/>
  <c r="G133" i="2"/>
  <c r="AJ133" i="2" s="1"/>
  <c r="G131" i="2"/>
  <c r="AJ131" i="2" s="1"/>
  <c r="G129" i="2"/>
  <c r="AJ129" i="2" s="1"/>
  <c r="G127" i="2"/>
  <c r="AJ127" i="2" s="1"/>
  <c r="G123" i="2"/>
  <c r="AJ123" i="2" s="1"/>
  <c r="G121" i="2"/>
  <c r="AJ121" i="2" s="1"/>
  <c r="G119" i="2"/>
  <c r="AJ119" i="2" s="1"/>
  <c r="G117" i="2"/>
  <c r="AJ117" i="2" s="1"/>
  <c r="G107" i="2"/>
  <c r="AJ107" i="2" s="1"/>
  <c r="G105" i="2"/>
  <c r="AJ105" i="2" s="1"/>
  <c r="G103" i="2"/>
  <c r="AJ103" i="2" s="1"/>
  <c r="G101" i="2"/>
  <c r="AJ101" i="2" s="1"/>
  <c r="G99" i="2"/>
  <c r="AJ99" i="2" s="1"/>
  <c r="G97" i="2"/>
  <c r="AJ97" i="2" s="1"/>
  <c r="G95" i="2"/>
  <c r="AJ95" i="2" s="1"/>
  <c r="G93" i="2"/>
  <c r="AJ93" i="2" s="1"/>
  <c r="G89" i="2"/>
  <c r="AJ89" i="2" s="1"/>
  <c r="G86" i="2"/>
  <c r="AJ86" i="2" s="1"/>
  <c r="G84" i="2"/>
  <c r="AJ84" i="2" s="1"/>
  <c r="G81" i="2"/>
  <c r="AJ81" i="2" s="1"/>
  <c r="G79" i="2"/>
  <c r="AJ79" i="2" s="1"/>
  <c r="G74" i="2"/>
  <c r="AJ74" i="2" s="1"/>
  <c r="G72" i="2"/>
  <c r="AJ72" i="2" s="1"/>
  <c r="G70" i="2"/>
  <c r="AJ70" i="2" s="1"/>
  <c r="G68" i="2"/>
  <c r="AJ68" i="2" s="1"/>
  <c r="G65" i="2"/>
  <c r="AJ65" i="2" s="1"/>
  <c r="G63" i="2"/>
  <c r="AJ63" i="2" s="1"/>
  <c r="G60" i="2"/>
  <c r="AJ60" i="2" s="1"/>
  <c r="G58" i="2"/>
  <c r="AJ58" i="2" s="1"/>
  <c r="G38" i="2"/>
  <c r="AJ38" i="2" s="1"/>
  <c r="G36" i="2"/>
  <c r="AJ36" i="2" s="1"/>
  <c r="G34" i="2"/>
  <c r="AJ34" i="2" s="1"/>
  <c r="G32" i="2"/>
  <c r="AJ32" i="2" s="1"/>
  <c r="G30" i="2"/>
  <c r="AJ30" i="2" s="1"/>
  <c r="G28" i="2"/>
  <c r="AJ28" i="2" s="1"/>
  <c r="G26" i="2"/>
  <c r="AJ26" i="2" s="1"/>
  <c r="G24" i="2"/>
  <c r="AJ24" i="2" s="1"/>
  <c r="G20" i="2"/>
  <c r="AJ20" i="2" s="1"/>
  <c r="G13" i="2"/>
  <c r="AJ13" i="2" s="1"/>
  <c r="G15" i="2"/>
  <c r="AJ15" i="2" s="1"/>
  <c r="G22" i="2"/>
  <c r="AJ22" i="2" s="1"/>
  <c r="G18" i="2"/>
  <c r="AJ18" i="2" s="1"/>
  <c r="I487" i="2"/>
  <c r="I488" i="2"/>
  <c r="I489" i="2"/>
  <c r="I490" i="2"/>
  <c r="I491" i="2"/>
  <c r="I492" i="2"/>
  <c r="I495" i="2"/>
  <c r="I496" i="2"/>
  <c r="I498" i="2"/>
  <c r="I499" i="2"/>
  <c r="I500" i="2"/>
  <c r="I501" i="2"/>
  <c r="I502" i="2"/>
  <c r="I503" i="2"/>
  <c r="I504" i="2"/>
  <c r="I505" i="2"/>
  <c r="I506" i="2"/>
  <c r="I507" i="2"/>
  <c r="I451" i="2"/>
  <c r="I452" i="2"/>
  <c r="I455" i="2"/>
  <c r="I456" i="2"/>
  <c r="I458" i="2"/>
  <c r="I459" i="2"/>
  <c r="I460" i="2"/>
  <c r="I462" i="2"/>
  <c r="I463" i="2"/>
  <c r="I464" i="2"/>
  <c r="I468" i="2"/>
  <c r="J470" i="2"/>
  <c r="I471" i="2"/>
  <c r="I472" i="2"/>
  <c r="I474" i="2"/>
  <c r="I475" i="2"/>
  <c r="I476" i="2"/>
  <c r="I478" i="2"/>
  <c r="I482" i="2"/>
  <c r="I483" i="2"/>
  <c r="I433" i="2"/>
  <c r="I434" i="2"/>
  <c r="H437" i="2"/>
  <c r="I438" i="2"/>
  <c r="H439" i="2"/>
  <c r="I443" i="2"/>
  <c r="I421" i="2"/>
  <c r="I423" i="2"/>
  <c r="I424" i="2"/>
  <c r="I427" i="2"/>
  <c r="I430" i="2"/>
  <c r="I381" i="2"/>
  <c r="I382" i="2"/>
  <c r="I386" i="2"/>
  <c r="I388" i="2"/>
  <c r="I389" i="2"/>
  <c r="I390" i="2"/>
  <c r="H391" i="2"/>
  <c r="I392" i="2"/>
  <c r="H395" i="2"/>
  <c r="I396" i="2"/>
  <c r="H397" i="2"/>
  <c r="I399" i="2"/>
  <c r="I400" i="2"/>
  <c r="H401" i="2"/>
  <c r="I402" i="2"/>
  <c r="I380" i="2"/>
  <c r="I249" i="2"/>
  <c r="I250" i="2"/>
  <c r="I252" i="2"/>
  <c r="I254" i="2"/>
  <c r="I257" i="2"/>
  <c r="I261" i="2"/>
  <c r="I262" i="2"/>
  <c r="I264" i="2"/>
  <c r="I265" i="2"/>
  <c r="I268" i="2"/>
  <c r="I269" i="2"/>
  <c r="I273" i="2"/>
  <c r="I277" i="2"/>
  <c r="I280" i="2"/>
  <c r="I281" i="2"/>
  <c r="I285" i="2"/>
  <c r="I286" i="2"/>
  <c r="I288" i="2"/>
  <c r="H289" i="2"/>
  <c r="I289" i="2"/>
  <c r="H291" i="2"/>
  <c r="I292" i="2"/>
  <c r="I293" i="2"/>
  <c r="H295" i="2"/>
  <c r="I296" i="2"/>
  <c r="H297" i="2"/>
  <c r="I297" i="2"/>
  <c r="H299" i="2"/>
  <c r="I300" i="2"/>
  <c r="I301" i="2"/>
  <c r="H303" i="2"/>
  <c r="I304" i="2"/>
  <c r="I306" i="2"/>
  <c r="I309" i="2"/>
  <c r="I310" i="2"/>
  <c r="I312" i="2"/>
  <c r="I313" i="2"/>
  <c r="I314" i="2"/>
  <c r="I316" i="2"/>
  <c r="I317" i="2"/>
  <c r="I318" i="2"/>
  <c r="I321" i="2"/>
  <c r="I322" i="2"/>
  <c r="H324" i="2"/>
  <c r="I325" i="2"/>
  <c r="H330" i="2"/>
  <c r="I334" i="2"/>
  <c r="I338" i="2"/>
  <c r="I342" i="2"/>
  <c r="I350" i="2"/>
  <c r="I358" i="2"/>
  <c r="I366" i="2"/>
  <c r="H375" i="2"/>
  <c r="I377" i="2"/>
  <c r="I236" i="2"/>
  <c r="I237" i="2"/>
  <c r="I239" i="2"/>
  <c r="H240" i="2"/>
  <c r="I240" i="2"/>
  <c r="H244" i="2"/>
  <c r="I245" i="2"/>
  <c r="I235" i="2"/>
  <c r="H235" i="2"/>
  <c r="I217" i="2"/>
  <c r="H218" i="2"/>
  <c r="H220" i="2"/>
  <c r="I220" i="2"/>
  <c r="I221" i="2"/>
  <c r="H222" i="2"/>
  <c r="H223" i="2"/>
  <c r="I225" i="2"/>
  <c r="I233" i="2"/>
  <c r="I197" i="2"/>
  <c r="H199" i="2"/>
  <c r="H200" i="2"/>
  <c r="I201" i="2"/>
  <c r="I202" i="2"/>
  <c r="I205" i="2"/>
  <c r="H207" i="2"/>
  <c r="H211" i="2"/>
  <c r="I211" i="2"/>
  <c r="I213" i="2"/>
  <c r="I167" i="2"/>
  <c r="H185" i="2"/>
  <c r="I187" i="2"/>
  <c r="H189" i="2"/>
  <c r="H193" i="2"/>
  <c r="I193" i="2"/>
  <c r="H165" i="2"/>
  <c r="I144" i="2"/>
  <c r="I145" i="2"/>
  <c r="I148" i="2"/>
  <c r="H150" i="2"/>
  <c r="I152" i="2"/>
  <c r="H156" i="2"/>
  <c r="I156" i="2"/>
  <c r="H142" i="2"/>
  <c r="I129" i="2"/>
  <c r="I130" i="2"/>
  <c r="I133" i="2"/>
  <c r="H135" i="2"/>
  <c r="I140" i="2"/>
  <c r="H127" i="2"/>
  <c r="I120" i="2"/>
  <c r="I121" i="2"/>
  <c r="H123" i="2"/>
  <c r="H125" i="2"/>
  <c r="I125" i="2"/>
  <c r="I117" i="2"/>
  <c r="H93" i="2"/>
  <c r="I93" i="2"/>
  <c r="I96" i="2"/>
  <c r="I97" i="2"/>
  <c r="H98" i="2"/>
  <c r="I100" i="2"/>
  <c r="I101" i="2"/>
  <c r="H102" i="2"/>
  <c r="I104" i="2"/>
  <c r="I105" i="2"/>
  <c r="I108" i="2"/>
  <c r="I85" i="2"/>
  <c r="H89" i="2"/>
  <c r="J89" i="2"/>
  <c r="I83" i="2"/>
  <c r="H83" i="2"/>
  <c r="H68" i="2"/>
  <c r="I68" i="2"/>
  <c r="I72" i="2"/>
  <c r="H73" i="2"/>
  <c r="I79" i="2"/>
  <c r="I67" i="2"/>
  <c r="I64" i="2"/>
  <c r="I63" i="2"/>
  <c r="I59" i="2"/>
  <c r="I60" i="2"/>
  <c r="I18" i="2"/>
  <c r="I19" i="2"/>
  <c r="I22" i="2"/>
  <c r="I23" i="2"/>
  <c r="I25" i="2"/>
  <c r="I27" i="2"/>
  <c r="I29" i="2"/>
  <c r="I30" i="2"/>
  <c r="I31" i="2"/>
  <c r="I33" i="2"/>
  <c r="I34" i="2"/>
  <c r="I35" i="2"/>
  <c r="I36" i="2"/>
  <c r="I37" i="2"/>
  <c r="I39" i="2"/>
  <c r="I52" i="2"/>
  <c r="Z52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I494" i="2"/>
  <c r="Z493" i="2"/>
  <c r="Z492" i="2"/>
  <c r="Z491" i="2"/>
  <c r="Z490" i="2"/>
  <c r="Z489" i="2"/>
  <c r="Z488" i="2"/>
  <c r="Z487" i="2"/>
  <c r="Z486" i="2"/>
  <c r="I486" i="2"/>
  <c r="Z485" i="2"/>
  <c r="I485" i="2"/>
  <c r="Z483" i="2"/>
  <c r="Z482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H467" i="2"/>
  <c r="Z466" i="2"/>
  <c r="Z465" i="2"/>
  <c r="Z464" i="2"/>
  <c r="Z463" i="2"/>
  <c r="Z462" i="2"/>
  <c r="Z461" i="2"/>
  <c r="Z460" i="2"/>
  <c r="Z459" i="2"/>
  <c r="Z458" i="2"/>
  <c r="Z457" i="2"/>
  <c r="H457" i="2"/>
  <c r="Z456" i="2"/>
  <c r="Z455" i="2"/>
  <c r="Z454" i="2"/>
  <c r="Z453" i="2"/>
  <c r="H453" i="2"/>
  <c r="Z452" i="2"/>
  <c r="Z451" i="2"/>
  <c r="H451" i="2"/>
  <c r="Z450" i="2"/>
  <c r="Z443" i="2"/>
  <c r="Z441" i="2"/>
  <c r="I441" i="2"/>
  <c r="Z440" i="2"/>
  <c r="Z439" i="2"/>
  <c r="Z438" i="2"/>
  <c r="Z437" i="2"/>
  <c r="Z436" i="2"/>
  <c r="Z435" i="2"/>
  <c r="H435" i="2"/>
  <c r="Z434" i="2"/>
  <c r="Z433" i="2"/>
  <c r="H433" i="2"/>
  <c r="Z432" i="2"/>
  <c r="Z430" i="2"/>
  <c r="Z429" i="2"/>
  <c r="H429" i="2"/>
  <c r="Z428" i="2"/>
  <c r="Z427" i="2"/>
  <c r="H427" i="2"/>
  <c r="Z426" i="2"/>
  <c r="I426" i="2"/>
  <c r="Z425" i="2"/>
  <c r="Z424" i="2"/>
  <c r="Z423" i="2"/>
  <c r="H423" i="2"/>
  <c r="Z421" i="2"/>
  <c r="Z420" i="2"/>
  <c r="Z419" i="2"/>
  <c r="I419" i="2"/>
  <c r="Z418" i="2"/>
  <c r="H418" i="2"/>
  <c r="Z404" i="2"/>
  <c r="I404" i="2"/>
  <c r="Z402" i="2"/>
  <c r="Z401" i="2"/>
  <c r="Z400" i="2"/>
  <c r="Z399" i="2"/>
  <c r="Z398" i="2"/>
  <c r="Z397" i="2"/>
  <c r="Z396" i="2"/>
  <c r="Z395" i="2"/>
  <c r="I395" i="2"/>
  <c r="Z392" i="2"/>
  <c r="Z391" i="2"/>
  <c r="Z390" i="2"/>
  <c r="Z389" i="2"/>
  <c r="Z388" i="2"/>
  <c r="Z387" i="2"/>
  <c r="Z386" i="2"/>
  <c r="Z385" i="2"/>
  <c r="I385" i="2"/>
  <c r="Z384" i="2"/>
  <c r="Z383" i="2"/>
  <c r="Z382" i="2"/>
  <c r="Z381" i="2"/>
  <c r="Z380" i="2"/>
  <c r="Z378" i="2"/>
  <c r="Z377" i="2"/>
  <c r="Z375" i="2"/>
  <c r="Z368" i="2"/>
  <c r="H368" i="2"/>
  <c r="Z367" i="2"/>
  <c r="Z366" i="2"/>
  <c r="H366" i="2"/>
  <c r="Z365" i="2"/>
  <c r="Z364" i="2"/>
  <c r="H364" i="2"/>
  <c r="Z363" i="2"/>
  <c r="Z362" i="2"/>
  <c r="I362" i="2"/>
  <c r="H362" i="2"/>
  <c r="Z361" i="2"/>
  <c r="Z360" i="2"/>
  <c r="H360" i="2"/>
  <c r="Z359" i="2"/>
  <c r="Z358" i="2"/>
  <c r="H358" i="2"/>
  <c r="Z357" i="2"/>
  <c r="Z356" i="2"/>
  <c r="H356" i="2"/>
  <c r="Z355" i="2"/>
  <c r="Z354" i="2"/>
  <c r="I354" i="2"/>
  <c r="H354" i="2"/>
  <c r="Z353" i="2"/>
  <c r="Z352" i="2"/>
  <c r="H352" i="2"/>
  <c r="Z351" i="2"/>
  <c r="Z350" i="2"/>
  <c r="H350" i="2"/>
  <c r="Z349" i="2"/>
  <c r="Z348" i="2"/>
  <c r="H348" i="2"/>
  <c r="Z347" i="2"/>
  <c r="Z346" i="2"/>
  <c r="I346" i="2"/>
  <c r="H346" i="2"/>
  <c r="Z345" i="2"/>
  <c r="Z344" i="2"/>
  <c r="H344" i="2"/>
  <c r="Z343" i="2"/>
  <c r="Z342" i="2"/>
  <c r="Z341" i="2"/>
  <c r="Z340" i="2"/>
  <c r="H340" i="2"/>
  <c r="Z339" i="2"/>
  <c r="Z338" i="2"/>
  <c r="H338" i="2"/>
  <c r="Z337" i="2"/>
  <c r="Z336" i="2"/>
  <c r="Z335" i="2"/>
  <c r="Z334" i="2"/>
  <c r="Z333" i="2"/>
  <c r="Z332" i="2"/>
  <c r="Z331" i="2"/>
  <c r="Z330" i="2"/>
  <c r="I330" i="2"/>
  <c r="Z329" i="2"/>
  <c r="Z328" i="2"/>
  <c r="H328" i="2"/>
  <c r="Z327" i="2"/>
  <c r="Z326" i="2"/>
  <c r="I326" i="2"/>
  <c r="H326" i="2"/>
  <c r="Z325" i="2"/>
  <c r="Z324" i="2"/>
  <c r="I324" i="2"/>
  <c r="Z323" i="2"/>
  <c r="Z322" i="2"/>
  <c r="Z321" i="2"/>
  <c r="Z320" i="2"/>
  <c r="I320" i="2"/>
  <c r="H320" i="2"/>
  <c r="Z319" i="2"/>
  <c r="H319" i="2"/>
  <c r="Z318" i="2"/>
  <c r="Z317" i="2"/>
  <c r="Z316" i="2"/>
  <c r="Z315" i="2"/>
  <c r="H315" i="2"/>
  <c r="Z314" i="2"/>
  <c r="Z313" i="2"/>
  <c r="Z312" i="2"/>
  <c r="Z311" i="2"/>
  <c r="H311" i="2"/>
  <c r="Z310" i="2"/>
  <c r="Z309" i="2"/>
  <c r="H309" i="2"/>
  <c r="Z308" i="2"/>
  <c r="Z307" i="2"/>
  <c r="H307" i="2"/>
  <c r="Z306" i="2"/>
  <c r="Z305" i="2"/>
  <c r="Z304" i="2"/>
  <c r="Z303" i="2"/>
  <c r="Z302" i="2"/>
  <c r="I302" i="2"/>
  <c r="Z301" i="2"/>
  <c r="Z300" i="2"/>
  <c r="Z299" i="2"/>
  <c r="Z298" i="2"/>
  <c r="I298" i="2"/>
  <c r="Z297" i="2"/>
  <c r="Z296" i="2"/>
  <c r="Z295" i="2"/>
  <c r="Z294" i="2"/>
  <c r="I294" i="2"/>
  <c r="Z293" i="2"/>
  <c r="Z292" i="2"/>
  <c r="Z291" i="2"/>
  <c r="Z290" i="2"/>
  <c r="I290" i="2"/>
  <c r="Z289" i="2"/>
  <c r="Z288" i="2"/>
  <c r="Z287" i="2"/>
  <c r="H287" i="2"/>
  <c r="Z286" i="2"/>
  <c r="Z285" i="2"/>
  <c r="Z284" i="2"/>
  <c r="I284" i="2"/>
  <c r="Z283" i="2"/>
  <c r="H283" i="2"/>
  <c r="Z282" i="2"/>
  <c r="I282" i="2"/>
  <c r="Z281" i="2"/>
  <c r="Z280" i="2"/>
  <c r="Z279" i="2"/>
  <c r="H279" i="2"/>
  <c r="Z278" i="2"/>
  <c r="Z277" i="2"/>
  <c r="H277" i="2"/>
  <c r="Z276" i="2"/>
  <c r="I276" i="2"/>
  <c r="Z275" i="2"/>
  <c r="H275" i="2"/>
  <c r="Z274" i="2"/>
  <c r="I274" i="2"/>
  <c r="Z273" i="2"/>
  <c r="H273" i="2"/>
  <c r="Z272" i="2"/>
  <c r="I272" i="2"/>
  <c r="Z271" i="2"/>
  <c r="H271" i="2"/>
  <c r="Z270" i="2"/>
  <c r="I270" i="2"/>
  <c r="Z269" i="2"/>
  <c r="Z268" i="2"/>
  <c r="Z267" i="2"/>
  <c r="H267" i="2"/>
  <c r="Z266" i="2"/>
  <c r="Z265" i="2"/>
  <c r="Z264" i="2"/>
  <c r="Z263" i="2"/>
  <c r="H263" i="2"/>
  <c r="Z262" i="2"/>
  <c r="Z261" i="2"/>
  <c r="Z260" i="2"/>
  <c r="I260" i="2"/>
  <c r="Z259" i="2"/>
  <c r="H259" i="2"/>
  <c r="Z258" i="2"/>
  <c r="Z257" i="2"/>
  <c r="Z256" i="2"/>
  <c r="I256" i="2"/>
  <c r="Z255" i="2"/>
  <c r="Z254" i="2"/>
  <c r="Z253" i="2"/>
  <c r="H253" i="2"/>
  <c r="Z252" i="2"/>
  <c r="Z251" i="2"/>
  <c r="H251" i="2"/>
  <c r="Z250" i="2"/>
  <c r="Z249" i="2"/>
  <c r="H249" i="2"/>
  <c r="Z248" i="2"/>
  <c r="I248" i="2"/>
  <c r="Z245" i="2"/>
  <c r="Z244" i="2"/>
  <c r="Z243" i="2"/>
  <c r="I243" i="2"/>
  <c r="Z240" i="2"/>
  <c r="Z239" i="2"/>
  <c r="Z238" i="2"/>
  <c r="H238" i="2"/>
  <c r="Z237" i="2"/>
  <c r="Z236" i="2"/>
  <c r="Z235" i="2"/>
  <c r="Z233" i="2"/>
  <c r="Z230" i="2"/>
  <c r="I230" i="2"/>
  <c r="Z227" i="2"/>
  <c r="H227" i="2"/>
  <c r="Z226" i="2"/>
  <c r="H226" i="2"/>
  <c r="Z225" i="2"/>
  <c r="Z224" i="2"/>
  <c r="H224" i="2"/>
  <c r="I224" i="2"/>
  <c r="Z223" i="2"/>
  <c r="Z222" i="2"/>
  <c r="Z221" i="2"/>
  <c r="Z220" i="2"/>
  <c r="Z219" i="2"/>
  <c r="Z218" i="2"/>
  <c r="Z217" i="2"/>
  <c r="Z216" i="2"/>
  <c r="I216" i="2"/>
  <c r="Z215" i="2"/>
  <c r="Z213" i="2"/>
  <c r="Z211" i="2"/>
  <c r="Z208" i="2"/>
  <c r="Z207" i="2"/>
  <c r="Z206" i="2"/>
  <c r="I206" i="2"/>
  <c r="Z205" i="2"/>
  <c r="Z204" i="2"/>
  <c r="Z203" i="2"/>
  <c r="Z202" i="2"/>
  <c r="Z201" i="2"/>
  <c r="Z200" i="2"/>
  <c r="Z199" i="2"/>
  <c r="Z198" i="2"/>
  <c r="I198" i="2"/>
  <c r="Z197" i="2"/>
  <c r="Z196" i="2"/>
  <c r="Z194" i="2"/>
  <c r="Z193" i="2"/>
  <c r="Z190" i="2"/>
  <c r="Z189" i="2"/>
  <c r="Z188" i="2"/>
  <c r="Z187" i="2"/>
  <c r="Z186" i="2"/>
  <c r="Z185" i="2"/>
  <c r="Z168" i="2"/>
  <c r="Z167" i="2"/>
  <c r="Z166" i="2"/>
  <c r="Z165" i="2"/>
  <c r="Z158" i="2"/>
  <c r="H158" i="2"/>
  <c r="Z157" i="2"/>
  <c r="Z156" i="2"/>
  <c r="Z155" i="2"/>
  <c r="H155" i="2"/>
  <c r="Z154" i="2"/>
  <c r="Z153" i="2"/>
  <c r="Z152" i="2"/>
  <c r="Z151" i="2"/>
  <c r="H151" i="2"/>
  <c r="Z150" i="2"/>
  <c r="Z149" i="2"/>
  <c r="Z148" i="2"/>
  <c r="Z147" i="2"/>
  <c r="H147" i="2"/>
  <c r="Z146" i="2"/>
  <c r="H146" i="2"/>
  <c r="Z145" i="2"/>
  <c r="Z144" i="2"/>
  <c r="Z143" i="2"/>
  <c r="Z142" i="2"/>
  <c r="Z140" i="2"/>
  <c r="Z136" i="2"/>
  <c r="Z135" i="2"/>
  <c r="Z134" i="2"/>
  <c r="Z133" i="2"/>
  <c r="Z132" i="2"/>
  <c r="Z131" i="2"/>
  <c r="H131" i="2"/>
  <c r="Z130" i="2"/>
  <c r="Z129" i="2"/>
  <c r="Z128" i="2"/>
  <c r="Z127" i="2"/>
  <c r="Z125" i="2"/>
  <c r="Z123" i="2"/>
  <c r="Z122" i="2"/>
  <c r="Z121" i="2"/>
  <c r="Z120" i="2"/>
  <c r="Z119" i="2"/>
  <c r="Z118" i="2"/>
  <c r="I118" i="2"/>
  <c r="H118" i="2"/>
  <c r="Z117" i="2"/>
  <c r="Z115" i="2"/>
  <c r="Z108" i="2"/>
  <c r="Z107" i="2"/>
  <c r="Z106" i="2"/>
  <c r="Z105" i="2"/>
  <c r="H105" i="2"/>
  <c r="Z104" i="2"/>
  <c r="Z103" i="2"/>
  <c r="Z102" i="2"/>
  <c r="Z101" i="2"/>
  <c r="H101" i="2"/>
  <c r="Z100" i="2"/>
  <c r="Z99" i="2"/>
  <c r="Z98" i="2"/>
  <c r="Z97" i="2"/>
  <c r="Z96" i="2"/>
  <c r="Z95" i="2"/>
  <c r="I95" i="2"/>
  <c r="Z94" i="2"/>
  <c r="Z93" i="2"/>
  <c r="Z92" i="2"/>
  <c r="I92" i="2"/>
  <c r="Z89" i="2"/>
  <c r="Z88" i="2"/>
  <c r="I88" i="2"/>
  <c r="Z86" i="2"/>
  <c r="Z85" i="2"/>
  <c r="Z84" i="2"/>
  <c r="H84" i="2"/>
  <c r="Z83" i="2"/>
  <c r="Z81" i="2"/>
  <c r="Z80" i="2"/>
  <c r="Z79" i="2"/>
  <c r="Z75" i="2"/>
  <c r="I75" i="2"/>
  <c r="Z74" i="2"/>
  <c r="Z73" i="2"/>
  <c r="Z72" i="2"/>
  <c r="H72" i="2"/>
  <c r="Z71" i="2"/>
  <c r="I71" i="2"/>
  <c r="Z70" i="2"/>
  <c r="Z69" i="2"/>
  <c r="Z68" i="2"/>
  <c r="Z67" i="2"/>
  <c r="Z65" i="2"/>
  <c r="Z64" i="2"/>
  <c r="Z63" i="2"/>
  <c r="Z61" i="2"/>
  <c r="Z60" i="2"/>
  <c r="Z59" i="2"/>
  <c r="Z58" i="2"/>
  <c r="I58" i="2"/>
  <c r="Z52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I26" i="2"/>
  <c r="Z25" i="2"/>
  <c r="Z24" i="2"/>
  <c r="Z23" i="2"/>
  <c r="Z22" i="2"/>
  <c r="Z21" i="2"/>
  <c r="Z20" i="2"/>
  <c r="Z19" i="2"/>
  <c r="Z18" i="2"/>
  <c r="Z17" i="2"/>
  <c r="Z15" i="2"/>
  <c r="Z14" i="2"/>
  <c r="Z13" i="2"/>
  <c r="Z9" i="2"/>
  <c r="AJ538" i="2" l="1"/>
  <c r="AJ539" i="2"/>
  <c r="J261" i="2"/>
  <c r="I420" i="2"/>
  <c r="J265" i="2"/>
  <c r="I384" i="2"/>
  <c r="J158" i="2"/>
  <c r="I470" i="2"/>
  <c r="H154" i="2"/>
  <c r="H219" i="2"/>
  <c r="J474" i="2"/>
  <c r="I528" i="2"/>
  <c r="J75" i="2"/>
  <c r="J71" i="2"/>
  <c r="J122" i="2"/>
  <c r="J67" i="2"/>
  <c r="H97" i="2"/>
  <c r="H336" i="2"/>
  <c r="H334" i="2"/>
  <c r="H332" i="2"/>
  <c r="I437" i="2"/>
  <c r="I467" i="2"/>
  <c r="H88" i="2"/>
  <c r="H398" i="2"/>
  <c r="H441" i="2"/>
  <c r="I454" i="2"/>
  <c r="I497" i="2"/>
  <c r="I493" i="2"/>
  <c r="J38" i="2"/>
  <c r="H143" i="2"/>
  <c r="H190" i="2"/>
  <c r="H392" i="2"/>
  <c r="H122" i="2"/>
  <c r="H128" i="2"/>
  <c r="I308" i="2"/>
  <c r="I38" i="2"/>
  <c r="H79" i="2"/>
  <c r="I24" i="2"/>
  <c r="H201" i="2"/>
  <c r="H477" i="2"/>
  <c r="J458" i="2"/>
  <c r="H461" i="2"/>
  <c r="H465" i="2"/>
  <c r="H469" i="2"/>
  <c r="H473" i="2"/>
  <c r="I425" i="2"/>
  <c r="I429" i="2"/>
  <c r="I383" i="2"/>
  <c r="I323" i="2"/>
  <c r="H342" i="2"/>
  <c r="H322" i="2"/>
  <c r="I251" i="2"/>
  <c r="I255" i="2"/>
  <c r="I319" i="2"/>
  <c r="I327" i="2"/>
  <c r="I331" i="2"/>
  <c r="I335" i="2"/>
  <c r="I339" i="2"/>
  <c r="I343" i="2"/>
  <c r="I347" i="2"/>
  <c r="I351" i="2"/>
  <c r="I355" i="2"/>
  <c r="I359" i="2"/>
  <c r="I363" i="2"/>
  <c r="I367" i="2"/>
  <c r="I378" i="2"/>
  <c r="I238" i="2"/>
  <c r="J222" i="2"/>
  <c r="J199" i="2"/>
  <c r="I188" i="2"/>
  <c r="I168" i="2"/>
  <c r="I194" i="2"/>
  <c r="I149" i="2"/>
  <c r="I153" i="2"/>
  <c r="H148" i="2"/>
  <c r="I157" i="2"/>
  <c r="I134" i="2"/>
  <c r="H119" i="2"/>
  <c r="I99" i="2"/>
  <c r="H106" i="2"/>
  <c r="H94" i="2"/>
  <c r="I103" i="2"/>
  <c r="H115" i="2"/>
  <c r="I107" i="2"/>
  <c r="I86" i="2"/>
  <c r="H69" i="2"/>
  <c r="I74" i="2"/>
  <c r="H80" i="2"/>
  <c r="I70" i="2"/>
  <c r="I81" i="2"/>
  <c r="I32" i="2"/>
  <c r="I20" i="2"/>
  <c r="I28" i="2"/>
  <c r="J397" i="2"/>
  <c r="J59" i="2"/>
  <c r="J119" i="2"/>
  <c r="J150" i="2"/>
  <c r="J289" i="2"/>
  <c r="J117" i="2"/>
  <c r="J33" i="2"/>
  <c r="J52" i="2"/>
  <c r="J86" i="2"/>
  <c r="J142" i="2"/>
  <c r="J302" i="2"/>
  <c r="J306" i="2"/>
  <c r="J32" i="2"/>
  <c r="J36" i="2"/>
  <c r="J63" i="2"/>
  <c r="H208" i="2"/>
  <c r="J273" i="2"/>
  <c r="J318" i="2"/>
  <c r="J419" i="2"/>
  <c r="J454" i="2"/>
  <c r="J69" i="2"/>
  <c r="J102" i="2"/>
  <c r="J131" i="2"/>
  <c r="J249" i="2"/>
  <c r="J80" i="2"/>
  <c r="J100" i="2"/>
  <c r="J106" i="2"/>
  <c r="J189" i="2"/>
  <c r="I258" i="2"/>
  <c r="H261" i="2"/>
  <c r="H265" i="2"/>
  <c r="J274" i="2"/>
  <c r="J297" i="2"/>
  <c r="H419" i="2"/>
  <c r="J20" i="2"/>
  <c r="J24" i="2"/>
  <c r="J25" i="2"/>
  <c r="J28" i="2"/>
  <c r="J61" i="2"/>
  <c r="J104" i="2"/>
  <c r="H136" i="2"/>
  <c r="H140" i="2"/>
  <c r="H186" i="2"/>
  <c r="H187" i="2"/>
  <c r="J207" i="2"/>
  <c r="J238" i="2"/>
  <c r="H317" i="2"/>
  <c r="J392" i="2"/>
  <c r="H455" i="2"/>
  <c r="H471" i="2"/>
  <c r="H196" i="2"/>
  <c r="I337" i="2"/>
  <c r="I348" i="2"/>
  <c r="J348" i="2"/>
  <c r="I375" i="2"/>
  <c r="H381" i="2"/>
  <c r="J462" i="2"/>
  <c r="J478" i="2"/>
  <c r="H502" i="2"/>
  <c r="J17" i="2"/>
  <c r="J60" i="2"/>
  <c r="J68" i="2"/>
  <c r="J79" i="2"/>
  <c r="J94" i="2"/>
  <c r="J115" i="2"/>
  <c r="H144" i="2"/>
  <c r="H152" i="2"/>
  <c r="H215" i="2"/>
  <c r="H230" i="2"/>
  <c r="J257" i="2"/>
  <c r="H257" i="2"/>
  <c r="J270" i="2"/>
  <c r="H293" i="2"/>
  <c r="I253" i="2"/>
  <c r="J253" i="2"/>
  <c r="I332" i="2"/>
  <c r="J332" i="2"/>
  <c r="I353" i="2"/>
  <c r="I364" i="2"/>
  <c r="J364" i="2"/>
  <c r="H385" i="2"/>
  <c r="H490" i="2"/>
  <c r="H506" i="2"/>
  <c r="J21" i="2"/>
  <c r="J39" i="2"/>
  <c r="J65" i="2"/>
  <c r="J84" i="2"/>
  <c r="J92" i="2"/>
  <c r="J98" i="2"/>
  <c r="J108" i="2"/>
  <c r="H129" i="2"/>
  <c r="J143" i="2"/>
  <c r="J151" i="2"/>
  <c r="H204" i="2"/>
  <c r="J227" i="2"/>
  <c r="I244" i="2"/>
  <c r="J244" i="2"/>
  <c r="H255" i="2"/>
  <c r="I266" i="2"/>
  <c r="H269" i="2"/>
  <c r="J282" i="2"/>
  <c r="I305" i="2"/>
  <c r="J305" i="2"/>
  <c r="H285" i="2"/>
  <c r="I439" i="2"/>
  <c r="J439" i="2"/>
  <c r="H486" i="2"/>
  <c r="H494" i="2"/>
  <c r="H498" i="2"/>
  <c r="J29" i="2"/>
  <c r="J64" i="2"/>
  <c r="J72" i="2"/>
  <c r="J96" i="2"/>
  <c r="J128" i="2"/>
  <c r="H132" i="2"/>
  <c r="H166" i="2"/>
  <c r="H203" i="2"/>
  <c r="J203" i="2"/>
  <c r="I278" i="2"/>
  <c r="J281" i="2"/>
  <c r="H281" i="2"/>
  <c r="J286" i="2"/>
  <c r="J132" i="2"/>
  <c r="J166" i="2"/>
  <c r="J196" i="2"/>
  <c r="J204" i="2"/>
  <c r="J215" i="2"/>
  <c r="J313" i="2"/>
  <c r="J314" i="2"/>
  <c r="I336" i="2"/>
  <c r="J336" i="2"/>
  <c r="I341" i="2"/>
  <c r="I352" i="2"/>
  <c r="J352" i="2"/>
  <c r="I357" i="2"/>
  <c r="J380" i="2"/>
  <c r="J384" i="2"/>
  <c r="J388" i="2"/>
  <c r="H388" i="2"/>
  <c r="H425" i="2"/>
  <c r="I432" i="2"/>
  <c r="I450" i="2"/>
  <c r="I466" i="2"/>
  <c r="J485" i="2"/>
  <c r="J489" i="2"/>
  <c r="J493" i="2"/>
  <c r="J497" i="2"/>
  <c r="J501" i="2"/>
  <c r="J505" i="2"/>
  <c r="J136" i="2"/>
  <c r="J147" i="2"/>
  <c r="J155" i="2"/>
  <c r="J186" i="2"/>
  <c r="J219" i="2"/>
  <c r="J290" i="2"/>
  <c r="I329" i="2"/>
  <c r="I340" i="2"/>
  <c r="J340" i="2"/>
  <c r="I345" i="2"/>
  <c r="I356" i="2"/>
  <c r="J356" i="2"/>
  <c r="I361" i="2"/>
  <c r="H383" i="2"/>
  <c r="J383" i="2"/>
  <c r="H387" i="2"/>
  <c r="J387" i="2"/>
  <c r="H399" i="2"/>
  <c r="J424" i="2"/>
  <c r="I436" i="2"/>
  <c r="H488" i="2"/>
  <c r="J488" i="2"/>
  <c r="H492" i="2"/>
  <c r="J492" i="2"/>
  <c r="H496" i="2"/>
  <c r="J496" i="2"/>
  <c r="H500" i="2"/>
  <c r="J500" i="2"/>
  <c r="H504" i="2"/>
  <c r="J504" i="2"/>
  <c r="H528" i="2"/>
  <c r="J528" i="2"/>
  <c r="J73" i="2"/>
  <c r="H120" i="2"/>
  <c r="J123" i="2"/>
  <c r="H133" i="2"/>
  <c r="J146" i="2"/>
  <c r="J154" i="2"/>
  <c r="H167" i="2"/>
  <c r="J190" i="2"/>
  <c r="H197" i="2"/>
  <c r="J200" i="2"/>
  <c r="H205" i="2"/>
  <c r="J208" i="2"/>
  <c r="H216" i="2"/>
  <c r="J223" i="2"/>
  <c r="J294" i="2"/>
  <c r="H301" i="2"/>
  <c r="H305" i="2"/>
  <c r="H313" i="2"/>
  <c r="I328" i="2"/>
  <c r="J328" i="2"/>
  <c r="I333" i="2"/>
  <c r="I344" i="2"/>
  <c r="J344" i="2"/>
  <c r="I349" i="2"/>
  <c r="I360" i="2"/>
  <c r="J360" i="2"/>
  <c r="I365" i="2"/>
  <c r="H377" i="2"/>
  <c r="I398" i="2"/>
  <c r="J402" i="2"/>
  <c r="H402" i="2"/>
  <c r="I428" i="2"/>
  <c r="I435" i="2"/>
  <c r="J435" i="2"/>
  <c r="I440" i="2"/>
  <c r="H463" i="2"/>
  <c r="H482" i="2"/>
  <c r="J320" i="2"/>
  <c r="J324" i="2"/>
  <c r="J266" i="2"/>
  <c r="J278" i="2"/>
  <c r="J298" i="2"/>
  <c r="J310" i="2"/>
  <c r="J321" i="2"/>
  <c r="J325" i="2"/>
  <c r="J329" i="2"/>
  <c r="J333" i="2"/>
  <c r="J337" i="2"/>
  <c r="J341" i="2"/>
  <c r="J345" i="2"/>
  <c r="J349" i="2"/>
  <c r="J353" i="2"/>
  <c r="J357" i="2"/>
  <c r="J361" i="2"/>
  <c r="J365" i="2"/>
  <c r="J375" i="2"/>
  <c r="H389" i="2"/>
  <c r="J398" i="2"/>
  <c r="J418" i="2"/>
  <c r="J428" i="2"/>
  <c r="J432" i="2"/>
  <c r="J436" i="2"/>
  <c r="J440" i="2"/>
  <c r="J450" i="2"/>
  <c r="H459" i="2"/>
  <c r="J466" i="2"/>
  <c r="H475" i="2"/>
  <c r="J23" i="2"/>
  <c r="J70" i="2"/>
  <c r="J74" i="2"/>
  <c r="J81" i="2"/>
  <c r="I165" i="2"/>
  <c r="I469" i="2"/>
  <c r="J469" i="2"/>
  <c r="H487" i="2"/>
  <c r="J487" i="2"/>
  <c r="H491" i="2"/>
  <c r="J491" i="2"/>
  <c r="H495" i="2"/>
  <c r="J495" i="2"/>
  <c r="H499" i="2"/>
  <c r="J499" i="2"/>
  <c r="H507" i="2"/>
  <c r="J507" i="2"/>
  <c r="I17" i="2"/>
  <c r="J18" i="2"/>
  <c r="I21" i="2"/>
  <c r="J22" i="2"/>
  <c r="H62" i="2"/>
  <c r="H71" i="2"/>
  <c r="H75" i="2"/>
  <c r="J85" i="2"/>
  <c r="J95" i="2"/>
  <c r="J99" i="2"/>
  <c r="J103" i="2"/>
  <c r="J107" i="2"/>
  <c r="H134" i="2"/>
  <c r="J134" i="2"/>
  <c r="I142" i="2"/>
  <c r="I150" i="2"/>
  <c r="I158" i="2"/>
  <c r="J165" i="2"/>
  <c r="H168" i="2"/>
  <c r="J168" i="2"/>
  <c r="H194" i="2"/>
  <c r="J194" i="2"/>
  <c r="I199" i="2"/>
  <c r="I207" i="2"/>
  <c r="H217" i="2"/>
  <c r="J217" i="2"/>
  <c r="H225" i="2"/>
  <c r="J225" i="2"/>
  <c r="J236" i="2"/>
  <c r="H236" i="2"/>
  <c r="H284" i="2"/>
  <c r="J284" i="2"/>
  <c r="H316" i="2"/>
  <c r="J316" i="2"/>
  <c r="J27" i="2"/>
  <c r="J31" i="2"/>
  <c r="J35" i="2"/>
  <c r="J37" i="2"/>
  <c r="J58" i="2"/>
  <c r="I131" i="2"/>
  <c r="H157" i="2"/>
  <c r="J157" i="2"/>
  <c r="I189" i="2"/>
  <c r="H198" i="2"/>
  <c r="J198" i="2"/>
  <c r="H206" i="2"/>
  <c r="J206" i="2"/>
  <c r="I222" i="2"/>
  <c r="I453" i="2"/>
  <c r="J453" i="2"/>
  <c r="H503" i="2"/>
  <c r="J503" i="2"/>
  <c r="J26" i="2"/>
  <c r="H70" i="2"/>
  <c r="H74" i="2"/>
  <c r="H81" i="2"/>
  <c r="J83" i="2"/>
  <c r="H86" i="2"/>
  <c r="J88" i="2"/>
  <c r="H92" i="2"/>
  <c r="J93" i="2"/>
  <c r="H96" i="2"/>
  <c r="J97" i="2"/>
  <c r="H100" i="2"/>
  <c r="J101" i="2"/>
  <c r="H104" i="2"/>
  <c r="J105" i="2"/>
  <c r="H108" i="2"/>
  <c r="H117" i="2"/>
  <c r="J118" i="2"/>
  <c r="H121" i="2"/>
  <c r="J121" i="2"/>
  <c r="I127" i="2"/>
  <c r="I135" i="2"/>
  <c r="H145" i="2"/>
  <c r="J145" i="2"/>
  <c r="H153" i="2"/>
  <c r="J153" i="2"/>
  <c r="I185" i="2"/>
  <c r="H202" i="2"/>
  <c r="J202" i="2"/>
  <c r="H213" i="2"/>
  <c r="J213" i="2"/>
  <c r="I218" i="2"/>
  <c r="I226" i="2"/>
  <c r="H276" i="2"/>
  <c r="J276" i="2"/>
  <c r="H308" i="2"/>
  <c r="J308" i="2"/>
  <c r="J19" i="2"/>
  <c r="H149" i="2"/>
  <c r="J149" i="2"/>
  <c r="H292" i="2"/>
  <c r="J292" i="2"/>
  <c r="J30" i="2"/>
  <c r="J34" i="2"/>
  <c r="H85" i="2"/>
  <c r="H95" i="2"/>
  <c r="H99" i="2"/>
  <c r="H103" i="2"/>
  <c r="H107" i="2"/>
  <c r="I122" i="2"/>
  <c r="J127" i="2"/>
  <c r="H130" i="2"/>
  <c r="J130" i="2"/>
  <c r="J135" i="2"/>
  <c r="I146" i="2"/>
  <c r="I154" i="2"/>
  <c r="J185" i="2"/>
  <c r="H188" i="2"/>
  <c r="J188" i="2"/>
  <c r="I203" i="2"/>
  <c r="J218" i="2"/>
  <c r="H221" i="2"/>
  <c r="J221" i="2"/>
  <c r="J226" i="2"/>
  <c r="H233" i="2"/>
  <c r="J233" i="2"/>
  <c r="H268" i="2"/>
  <c r="J268" i="2"/>
  <c r="H300" i="2"/>
  <c r="J300" i="2"/>
  <c r="H237" i="2"/>
  <c r="J237" i="2"/>
  <c r="H243" i="2"/>
  <c r="J243" i="2"/>
  <c r="H248" i="2"/>
  <c r="J248" i="2"/>
  <c r="H252" i="2"/>
  <c r="J252" i="2"/>
  <c r="H256" i="2"/>
  <c r="J256" i="2"/>
  <c r="I259" i="2"/>
  <c r="H260" i="2"/>
  <c r="J260" i="2"/>
  <c r="I263" i="2"/>
  <c r="H264" i="2"/>
  <c r="J264" i="2"/>
  <c r="I368" i="2"/>
  <c r="J368" i="2"/>
  <c r="H400" i="2"/>
  <c r="J400" i="2"/>
  <c r="I61" i="2"/>
  <c r="I57" i="2" s="1"/>
  <c r="I65" i="2"/>
  <c r="I62" i="2" s="1"/>
  <c r="I69" i="2"/>
  <c r="I73" i="2"/>
  <c r="I80" i="2"/>
  <c r="I84" i="2"/>
  <c r="I89" i="2"/>
  <c r="I94" i="2"/>
  <c r="I98" i="2"/>
  <c r="I102" i="2"/>
  <c r="I106" i="2"/>
  <c r="I115" i="2"/>
  <c r="I119" i="2"/>
  <c r="J120" i="2"/>
  <c r="I123" i="2"/>
  <c r="J125" i="2"/>
  <c r="I128" i="2"/>
  <c r="J129" i="2"/>
  <c r="I132" i="2"/>
  <c r="J133" i="2"/>
  <c r="I136" i="2"/>
  <c r="J140" i="2"/>
  <c r="I143" i="2"/>
  <c r="J144" i="2"/>
  <c r="I147" i="2"/>
  <c r="J148" i="2"/>
  <c r="I151" i="2"/>
  <c r="J152" i="2"/>
  <c r="I155" i="2"/>
  <c r="J156" i="2"/>
  <c r="I166" i="2"/>
  <c r="J167" i="2"/>
  <c r="I186" i="2"/>
  <c r="J187" i="2"/>
  <c r="I190" i="2"/>
  <c r="J193" i="2"/>
  <c r="I196" i="2"/>
  <c r="J197" i="2"/>
  <c r="I200" i="2"/>
  <c r="J201" i="2"/>
  <c r="I204" i="2"/>
  <c r="J205" i="2"/>
  <c r="I208" i="2"/>
  <c r="J211" i="2"/>
  <c r="I215" i="2"/>
  <c r="J216" i="2"/>
  <c r="I219" i="2"/>
  <c r="J220" i="2"/>
  <c r="I223" i="2"/>
  <c r="J224" i="2"/>
  <c r="I227" i="2"/>
  <c r="J230" i="2"/>
  <c r="J235" i="2"/>
  <c r="H272" i="2"/>
  <c r="J272" i="2"/>
  <c r="H280" i="2"/>
  <c r="J280" i="2"/>
  <c r="H288" i="2"/>
  <c r="J288" i="2"/>
  <c r="H296" i="2"/>
  <c r="J296" i="2"/>
  <c r="H304" i="2"/>
  <c r="J304" i="2"/>
  <c r="H312" i="2"/>
  <c r="J312" i="2"/>
  <c r="H390" i="2"/>
  <c r="J390" i="2"/>
  <c r="J239" i="2"/>
  <c r="H239" i="2"/>
  <c r="J240" i="2"/>
  <c r="J245" i="2"/>
  <c r="H245" i="2"/>
  <c r="J250" i="2"/>
  <c r="H250" i="2"/>
  <c r="J251" i="2"/>
  <c r="J254" i="2"/>
  <c r="H254" i="2"/>
  <c r="J255" i="2"/>
  <c r="J258" i="2"/>
  <c r="H258" i="2"/>
  <c r="J259" i="2"/>
  <c r="J262" i="2"/>
  <c r="H262" i="2"/>
  <c r="J263" i="2"/>
  <c r="J269" i="2"/>
  <c r="J277" i="2"/>
  <c r="J285" i="2"/>
  <c r="J293" i="2"/>
  <c r="J301" i="2"/>
  <c r="J309" i="2"/>
  <c r="J317" i="2"/>
  <c r="H266" i="2"/>
  <c r="I267" i="2"/>
  <c r="H270" i="2"/>
  <c r="I271" i="2"/>
  <c r="H274" i="2"/>
  <c r="I275" i="2"/>
  <c r="H278" i="2"/>
  <c r="I279" i="2"/>
  <c r="H282" i="2"/>
  <c r="I283" i="2"/>
  <c r="H286" i="2"/>
  <c r="I287" i="2"/>
  <c r="H290" i="2"/>
  <c r="I291" i="2"/>
  <c r="H294" i="2"/>
  <c r="I295" i="2"/>
  <c r="H298" i="2"/>
  <c r="I299" i="2"/>
  <c r="H302" i="2"/>
  <c r="I303" i="2"/>
  <c r="H306" i="2"/>
  <c r="I307" i="2"/>
  <c r="H310" i="2"/>
  <c r="I311" i="2"/>
  <c r="H314" i="2"/>
  <c r="I315" i="2"/>
  <c r="H318" i="2"/>
  <c r="J319" i="2"/>
  <c r="H378" i="2"/>
  <c r="J378" i="2"/>
  <c r="I391" i="2"/>
  <c r="I401" i="2"/>
  <c r="H404" i="2"/>
  <c r="J404" i="2"/>
  <c r="I465" i="2"/>
  <c r="J465" i="2"/>
  <c r="J267" i="2"/>
  <c r="J271" i="2"/>
  <c r="J275" i="2"/>
  <c r="J279" i="2"/>
  <c r="J283" i="2"/>
  <c r="J287" i="2"/>
  <c r="J291" i="2"/>
  <c r="J295" i="2"/>
  <c r="J299" i="2"/>
  <c r="J303" i="2"/>
  <c r="J307" i="2"/>
  <c r="J311" i="2"/>
  <c r="J315" i="2"/>
  <c r="H323" i="2"/>
  <c r="J323" i="2"/>
  <c r="H327" i="2"/>
  <c r="J327" i="2"/>
  <c r="H331" i="2"/>
  <c r="J331" i="2"/>
  <c r="H335" i="2"/>
  <c r="J335" i="2"/>
  <c r="H339" i="2"/>
  <c r="J339" i="2"/>
  <c r="H343" i="2"/>
  <c r="J343" i="2"/>
  <c r="H347" i="2"/>
  <c r="J347" i="2"/>
  <c r="H351" i="2"/>
  <c r="J351" i="2"/>
  <c r="H355" i="2"/>
  <c r="J355" i="2"/>
  <c r="H359" i="2"/>
  <c r="J359" i="2"/>
  <c r="H363" i="2"/>
  <c r="J363" i="2"/>
  <c r="H382" i="2"/>
  <c r="J382" i="2"/>
  <c r="H386" i="2"/>
  <c r="J386" i="2"/>
  <c r="J391" i="2"/>
  <c r="H396" i="2"/>
  <c r="J396" i="2"/>
  <c r="J401" i="2"/>
  <c r="I418" i="2"/>
  <c r="I461" i="2"/>
  <c r="J461" i="2"/>
  <c r="I477" i="2"/>
  <c r="J477" i="2"/>
  <c r="H367" i="2"/>
  <c r="J367" i="2"/>
  <c r="I387" i="2"/>
  <c r="I397" i="2"/>
  <c r="I457" i="2"/>
  <c r="J457" i="2"/>
  <c r="I473" i="2"/>
  <c r="J473" i="2"/>
  <c r="H321" i="2"/>
  <c r="H325" i="2"/>
  <c r="H329" i="2"/>
  <c r="H333" i="2"/>
  <c r="H337" i="2"/>
  <c r="H341" i="2"/>
  <c r="H345" i="2"/>
  <c r="H349" i="2"/>
  <c r="H353" i="2"/>
  <c r="H357" i="2"/>
  <c r="H361" i="2"/>
  <c r="H365" i="2"/>
  <c r="H380" i="2"/>
  <c r="H384" i="2"/>
  <c r="J420" i="2"/>
  <c r="H421" i="2"/>
  <c r="J421" i="2"/>
  <c r="H426" i="2"/>
  <c r="J426" i="2"/>
  <c r="H430" i="2"/>
  <c r="J430" i="2"/>
  <c r="J322" i="2"/>
  <c r="J326" i="2"/>
  <c r="J330" i="2"/>
  <c r="J334" i="2"/>
  <c r="J338" i="2"/>
  <c r="J342" i="2"/>
  <c r="J346" i="2"/>
  <c r="J350" i="2"/>
  <c r="J354" i="2"/>
  <c r="J358" i="2"/>
  <c r="J362" i="2"/>
  <c r="J366" i="2"/>
  <c r="J377" i="2"/>
  <c r="J381" i="2"/>
  <c r="J385" i="2"/>
  <c r="J389" i="2"/>
  <c r="J395" i="2"/>
  <c r="J399" i="2"/>
  <c r="H434" i="2"/>
  <c r="J434" i="2"/>
  <c r="H438" i="2"/>
  <c r="J438" i="2"/>
  <c r="H443" i="2"/>
  <c r="J443" i="2"/>
  <c r="H420" i="2"/>
  <c r="J423" i="2"/>
  <c r="J427" i="2"/>
  <c r="H452" i="2"/>
  <c r="J452" i="2"/>
  <c r="H456" i="2"/>
  <c r="J456" i="2"/>
  <c r="H460" i="2"/>
  <c r="J460" i="2"/>
  <c r="H464" i="2"/>
  <c r="J464" i="2"/>
  <c r="H468" i="2"/>
  <c r="J468" i="2"/>
  <c r="H472" i="2"/>
  <c r="J472" i="2"/>
  <c r="H476" i="2"/>
  <c r="J476" i="2"/>
  <c r="H483" i="2"/>
  <c r="J483" i="2"/>
  <c r="H424" i="2"/>
  <c r="H428" i="2"/>
  <c r="H432" i="2"/>
  <c r="H436" i="2"/>
  <c r="H440" i="2"/>
  <c r="H450" i="2"/>
  <c r="H454" i="2"/>
  <c r="H458" i="2"/>
  <c r="H462" i="2"/>
  <c r="H466" i="2"/>
  <c r="H470" i="2"/>
  <c r="H474" i="2"/>
  <c r="H478" i="2"/>
  <c r="H485" i="2"/>
  <c r="H489" i="2"/>
  <c r="H493" i="2"/>
  <c r="H497" i="2"/>
  <c r="H501" i="2"/>
  <c r="H505" i="2"/>
  <c r="J425" i="2"/>
  <c r="J429" i="2"/>
  <c r="J433" i="2"/>
  <c r="J437" i="2"/>
  <c r="J441" i="2"/>
  <c r="J451" i="2"/>
  <c r="J455" i="2"/>
  <c r="J459" i="2"/>
  <c r="J463" i="2"/>
  <c r="J467" i="2"/>
  <c r="J471" i="2"/>
  <c r="J475" i="2"/>
  <c r="J482" i="2"/>
  <c r="J486" i="2"/>
  <c r="J490" i="2"/>
  <c r="J494" i="2"/>
  <c r="J498" i="2"/>
  <c r="J502" i="2"/>
  <c r="J506" i="2"/>
  <c r="AJ540" i="2" l="1"/>
  <c r="I234" i="2"/>
  <c r="I484" i="2"/>
  <c r="J57" i="2"/>
  <c r="J62" i="2"/>
  <c r="H57" i="2"/>
  <c r="I379" i="2"/>
  <c r="I403" i="2"/>
  <c r="I431" i="2"/>
  <c r="J66" i="2"/>
  <c r="H195" i="2"/>
  <c r="J214" i="2"/>
  <c r="J195" i="2"/>
  <c r="J141" i="2"/>
  <c r="H214" i="2"/>
  <c r="J449" i="2"/>
  <c r="J379" i="2"/>
  <c r="I66" i="2"/>
  <c r="J91" i="2"/>
  <c r="I91" i="2"/>
  <c r="J431" i="2"/>
  <c r="I82" i="2"/>
  <c r="H141" i="2"/>
  <c r="J116" i="2"/>
  <c r="J16" i="2"/>
  <c r="H16" i="2"/>
  <c r="J484" i="2"/>
  <c r="I449" i="2"/>
  <c r="I116" i="2"/>
  <c r="H234" i="2"/>
  <c r="H126" i="2"/>
  <c r="H82" i="2"/>
  <c r="I247" i="2"/>
  <c r="H164" i="2"/>
  <c r="H403" i="2"/>
  <c r="J234" i="2"/>
  <c r="I214" i="2"/>
  <c r="I195" i="2"/>
  <c r="I126" i="2"/>
  <c r="J164" i="2"/>
  <c r="H449" i="2"/>
  <c r="H379" i="2"/>
  <c r="J247" i="2"/>
  <c r="J126" i="2"/>
  <c r="H91" i="2"/>
  <c r="J82" i="2"/>
  <c r="H66" i="2"/>
  <c r="I16" i="2"/>
  <c r="I164" i="2"/>
  <c r="H484" i="2"/>
  <c r="H431" i="2"/>
  <c r="J403" i="2"/>
  <c r="H247" i="2"/>
  <c r="H116" i="2"/>
  <c r="I141" i="2"/>
  <c r="I13" i="2" l="1"/>
  <c r="J13" i="2" l="1"/>
  <c r="J14" i="2" l="1"/>
  <c r="I14" i="2" l="1"/>
  <c r="J9" i="2" l="1"/>
  <c r="I9" i="2" l="1"/>
  <c r="J15" i="2"/>
  <c r="J8" i="2" s="1"/>
  <c r="J537" i="2" s="1"/>
  <c r="N7" i="2" s="1"/>
  <c r="J5" i="2" l="1"/>
  <c r="H8" i="2"/>
  <c r="H537" i="2" s="1"/>
  <c r="I15" i="2"/>
  <c r="I8" i="2" s="1"/>
  <c r="I537" i="2" s="1"/>
</calcChain>
</file>

<file path=xl/sharedStrings.xml><?xml version="1.0" encoding="utf-8"?>
<sst xmlns="http://schemas.openxmlformats.org/spreadsheetml/2006/main" count="2509" uniqueCount="1380">
  <si>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</si>
  <si>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</si>
  <si>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</si>
  <si>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</si>
  <si>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</si>
  <si>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</si>
  <si>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</si>
  <si>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</si>
  <si>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</si>
  <si>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</si>
  <si>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</si>
  <si>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</si>
  <si>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</si>
  <si>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</si>
  <si>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</si>
  <si>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</si>
  <si>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</si>
  <si>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</si>
  <si>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</si>
  <si>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</si>
  <si>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</si>
  <si>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</si>
  <si>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</si>
  <si>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</si>
  <si>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</si>
  <si>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</si>
  <si>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</si>
  <si>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</si>
  <si>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</si>
  <si>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</si>
  <si>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</si>
  <si>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</si>
  <si>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</si>
  <si>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</si>
  <si>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</si>
  <si>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</si>
  <si>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</si>
  <si>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</si>
  <si>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</si>
  <si>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</si>
  <si>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</si>
  <si>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</si>
  <si>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</si>
  <si>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</si>
  <si>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</si>
  <si>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</si>
  <si>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</si>
  <si>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</si>
  <si>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</si>
  <si>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</si>
  <si>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</si>
  <si>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</si>
  <si>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</si>
  <si>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</si>
  <si>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</si>
  <si>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</si>
  <si>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</si>
  <si>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</si>
  <si>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</si>
  <si>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</si>
  <si>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</si>
  <si>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</si>
  <si>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</si>
  <si>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</si>
  <si>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</si>
  <si>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</si>
  <si>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</si>
  <si>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</si>
  <si>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</si>
  <si>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</si>
  <si>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</si>
  <si>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</si>
  <si>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</si>
  <si>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</si>
  <si>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</si>
  <si>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</si>
  <si>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</si>
  <si>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</si>
  <si>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</si>
  <si>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</si>
  <si>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</si>
  <si>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</si>
  <si>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</si>
  <si>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</si>
  <si>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</si>
  <si>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</si>
  <si>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</si>
  <si>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</si>
  <si>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</si>
  <si>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</si>
  <si>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</si>
  <si>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</si>
  <si>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</si>
  <si>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</si>
  <si>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</si>
  <si>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</si>
  <si>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</si>
  <si>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</si>
  <si>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</si>
  <si>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</si>
  <si>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</si>
  <si>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</si>
  <si>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</si>
  <si>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</si>
  <si>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</si>
  <si>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</si>
  <si>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</si>
  <si>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</si>
  <si>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</si>
  <si>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</si>
  <si>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</si>
  <si>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</si>
  <si>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</si>
  <si>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</si>
  <si>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</si>
  <si>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</si>
  <si>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</si>
  <si>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</si>
  <si>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</si>
  <si>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</si>
  <si>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</si>
  <si>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</si>
  <si>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</si>
  <si>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</si>
  <si>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</si>
  <si>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</si>
  <si>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</si>
  <si>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</si>
  <si>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</si>
  <si>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</si>
  <si>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</si>
  <si>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</si>
  <si>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</si>
  <si>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</si>
  <si>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</si>
  <si>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</si>
  <si>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</si>
  <si>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</si>
  <si>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</si>
  <si>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</si>
  <si>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</si>
  <si>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</si>
  <si>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</si>
  <si>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</si>
  <si>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</si>
  <si>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</si>
  <si>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</si>
  <si>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</si>
  <si>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</si>
  <si>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</si>
  <si>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</si>
  <si>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</si>
  <si>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</si>
  <si>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</si>
  <si>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</si>
  <si>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</si>
  <si>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</si>
  <si>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</si>
  <si>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</si>
  <si>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</si>
  <si>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</si>
  <si>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</si>
  <si>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</si>
  <si>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</si>
  <si>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</si>
  <si>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</si>
  <si>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</si>
  <si>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</si>
  <si>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</si>
  <si>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</si>
  <si>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</si>
  <si>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</si>
  <si>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</si>
  <si>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</si>
  <si>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</si>
  <si>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</si>
  <si>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</si>
  <si>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</si>
  <si>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</si>
  <si>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</si>
  <si>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</si>
  <si>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</si>
  <si>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</si>
  <si>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</si>
  <si>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</si>
  <si>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</si>
  <si>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</si>
  <si>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</si>
  <si>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</si>
  <si>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</si>
  <si>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</si>
  <si>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</si>
  <si>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</si>
  <si>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</si>
  <si>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</si>
  <si>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</si>
  <si>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</si>
  <si>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</si>
  <si>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</si>
  <si>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</si>
  <si>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</si>
  <si>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</si>
  <si>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</si>
  <si>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</si>
  <si>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</si>
  <si>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</si>
  <si>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</si>
  <si>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</si>
  <si>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</si>
  <si>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</si>
  <si>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</si>
  <si>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</si>
  <si>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</si>
  <si>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</si>
  <si>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</si>
  <si>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</si>
  <si>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</si>
  <si>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</si>
  <si>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</si>
  <si>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</si>
  <si>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</si>
  <si>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</si>
  <si>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</si>
  <si>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</si>
  <si>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</si>
  <si>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</si>
  <si>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</si>
  <si>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</si>
  <si>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</si>
  <si>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</si>
  <si>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</si>
  <si>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</si>
  <si>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</si>
  <si>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</si>
  <si>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</si>
  <si>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</si>
  <si>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</si>
  <si>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</si>
  <si>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</si>
  <si>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</si>
  <si>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</si>
  <si>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</si>
  <si>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</si>
  <si>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</si>
  <si>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</si>
  <si>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</si>
  <si>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</si>
  <si>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</si>
  <si>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</si>
  <si>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</si>
  <si>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</si>
  <si>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</si>
  <si>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</si>
  <si>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</si>
  <si>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</si>
  <si>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</si>
  <si>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</si>
  <si>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</si>
  <si>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</si>
  <si>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</si>
  <si>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</si>
  <si>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</si>
  <si>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</si>
  <si>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</si>
  <si>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</si>
  <si>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</si>
  <si>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</si>
  <si>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</si>
  <si>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</si>
  <si>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</si>
  <si>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</si>
  <si>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</si>
  <si>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</si>
  <si>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</si>
  <si>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</si>
  <si>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</si>
  <si>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</si>
  <si>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</si>
  <si>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</si>
  <si>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</si>
  <si>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</si>
  <si>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</si>
  <si>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</si>
  <si>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</si>
  <si>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</si>
  <si>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</si>
  <si>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</si>
  <si>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</si>
  <si>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</si>
  <si>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</si>
  <si>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</si>
  <si>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</si>
  <si>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</si>
  <si>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</si>
  <si>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</si>
  <si>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</si>
  <si>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</si>
  <si>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</si>
  <si>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</si>
  <si>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</si>
  <si>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</si>
  <si>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</si>
  <si>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</si>
  <si>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</si>
  <si>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</si>
  <si>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</si>
  <si>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</si>
  <si>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</si>
  <si>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</si>
  <si>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</si>
  <si>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</si>
  <si>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</si>
  <si>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</si>
  <si>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</si>
  <si>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</si>
  <si>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</si>
  <si>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</si>
  <si>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</si>
  <si>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</si>
  <si>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</si>
  <si>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</si>
  <si>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</si>
  <si>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</si>
  <si>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</si>
  <si>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</si>
  <si>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</si>
  <si>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</si>
  <si>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</si>
  <si>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</si>
  <si>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</si>
  <si>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</si>
  <si>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</si>
  <si>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</si>
  <si>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</si>
  <si>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</si>
  <si>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</si>
  <si>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</si>
  <si>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</si>
  <si>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</si>
  <si>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</si>
  <si>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</si>
  <si>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</si>
  <si>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</si>
  <si>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</si>
  <si>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</si>
  <si>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</si>
  <si>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</si>
  <si>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</si>
  <si>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</si>
  <si>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</si>
  <si>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</si>
  <si>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</si>
  <si>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</si>
  <si>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</si>
  <si>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</si>
  <si>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</si>
  <si>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</si>
  <si>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</si>
  <si>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</si>
  <si>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</si>
  <si>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</si>
  <si>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</si>
  <si>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</si>
  <si>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</si>
  <si>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</si>
  <si>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</si>
  <si>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</si>
  <si>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</si>
  <si>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</si>
  <si>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</si>
  <si>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</si>
  <si>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</si>
  <si>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</si>
  <si>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</si>
  <si>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</si>
  <si>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</si>
  <si>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</si>
  <si>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</si>
  <si>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</si>
  <si>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</si>
  <si>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</si>
  <si>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</si>
  <si>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</si>
  <si>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</si>
  <si>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</si>
  <si>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</si>
  <si>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</si>
  <si>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</si>
  <si>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</si>
  <si>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</si>
  <si>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</si>
  <si>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</si>
  <si>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</si>
  <si>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</si>
  <si>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</si>
  <si>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</si>
  <si>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</si>
  <si>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</si>
  <si>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</si>
  <si>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</si>
  <si>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</si>
  <si>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</si>
  <si>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</si>
  <si>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</si>
  <si>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</si>
  <si>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</si>
  <si>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</si>
  <si>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</si>
  <si>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</si>
  <si>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</si>
  <si>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</si>
  <si>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</si>
  <si>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</si>
  <si>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</si>
  <si>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</si>
  <si>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</si>
  <si>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</si>
  <si>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</si>
  <si>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</si>
  <si>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</si>
  <si>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</si>
  <si>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</si>
  <si>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</si>
  <si>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</si>
  <si>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</si>
  <si>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</si>
  <si>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</si>
  <si>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</si>
  <si>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</si>
  <si>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</si>
  <si>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</si>
  <si>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</si>
  <si>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</si>
  <si>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</si>
  <si>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</si>
  <si>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</si>
  <si>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</si>
  <si>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</si>
  <si>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</si>
  <si>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</si>
  <si>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</si>
  <si>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</si>
  <si>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</si>
  <si>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</si>
  <si>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</si>
  <si>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</si>
  <si>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</si>
  <si>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</si>
  <si>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</si>
  <si>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</si>
  <si>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</si>
  <si>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</si>
  <si>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</si>
  <si>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</si>
  <si>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</si>
  <si>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</si>
  <si>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</si>
  <si>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</si>
  <si>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</si>
  <si>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</si>
  <si>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</si>
  <si>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</si>
  <si>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</si>
  <si>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</si>
  <si>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</si>
  <si>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</si>
  <si>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</si>
  <si>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</si>
  <si>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</si>
  <si>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</si>
  <si>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</si>
  <si>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</si>
  <si>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</si>
  <si>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</si>
  <si>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</si>
  <si>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</si>
  <si>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</si>
  <si>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</si>
  <si>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</si>
  <si>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</si>
  <si>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</si>
  <si>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</si>
  <si>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</si>
  <si>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</si>
  <si>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</si>
  <si>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</si>
  <si>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</si>
  <si>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</si>
  <si>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</si>
  <si>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</si>
  <si>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</si>
  <si>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</si>
  <si>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</si>
  <si>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</si>
  <si>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</si>
  <si>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</si>
  <si>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</si>
  <si>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</si>
  <si>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</si>
  <si>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</si>
  <si>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</si>
  <si>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</si>
  <si>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</si>
  <si>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</si>
  <si>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</si>
  <si>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</si>
  <si>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</si>
  <si>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</si>
  <si>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</si>
  <si>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</si>
  <si>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</si>
  <si>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</si>
  <si>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</si>
  <si>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</si>
  <si>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</si>
  <si>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</si>
  <si>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</si>
  <si>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</si>
  <si>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</si>
  <si>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</si>
  <si>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</si>
  <si>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</si>
  <si>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</si>
  <si>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</si>
  <si>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</si>
  <si>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</si>
  <si>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</si>
  <si>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</si>
  <si>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</si>
  <si>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</si>
  <si>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</si>
  <si>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</si>
  <si>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</si>
  <si>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</si>
  <si>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</si>
  <si>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</si>
  <si>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</si>
  <si>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</si>
  <si>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</si>
  <si>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</si>
  <si>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</si>
  <si>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</si>
  <si>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</si>
  <si>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</si>
  <si>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</si>
  <si>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</si>
  <si>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</si>
  <si>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</si>
  <si>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</si>
  <si>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</si>
  <si>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</si>
  <si>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</si>
  <si>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</si>
  <si>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</si>
  <si>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</si>
  <si>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</si>
  <si>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</si>
  <si>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</si>
  <si>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</si>
  <si>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</si>
  <si>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</si>
  <si>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</si>
  <si>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</si>
  <si>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</si>
  <si>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</si>
  <si>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</si>
  <si>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</si>
  <si>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</si>
  <si>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</si>
  <si>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</si>
  <si>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</si>
  <si>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</si>
  <si>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</si>
  <si>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</si>
  <si>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</si>
  <si>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</si>
  <si>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</si>
  <si>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</si>
  <si>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</si>
  <si>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</si>
  <si>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</si>
  <si>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</si>
  <si>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</si>
  <si>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</si>
  <si>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</si>
  <si>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</si>
  <si>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</si>
  <si>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</si>
  <si>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</si>
  <si>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</si>
  <si>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</si>
  <si>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</si>
  <si>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</si>
  <si>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</si>
  <si>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</si>
  <si>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</si>
  <si>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</si>
  <si>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</si>
  <si>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</si>
  <si>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</si>
  <si>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</si>
  <si>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</si>
  <si>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</si>
  <si>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</si>
  <si>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</si>
  <si>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</si>
  <si>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</si>
  <si>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</si>
  <si>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</si>
  <si>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</si>
  <si>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</si>
  <si>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</si>
  <si>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</si>
  <si>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</si>
  <si>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</si>
  <si>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</si>
  <si>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</si>
  <si>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</si>
  <si>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</si>
  <si>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</si>
  <si>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</si>
  <si>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</si>
  <si>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</si>
  <si>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</si>
  <si>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</si>
  <si>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</si>
  <si>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</si>
  <si>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</si>
  <si>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</si>
  <si>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</si>
  <si>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</si>
  <si>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</si>
  <si>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</si>
  <si>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</si>
  <si>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</si>
  <si>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</si>
  <si>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</si>
  <si>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</si>
  <si>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</si>
  <si>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</si>
  <si>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</si>
  <si>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</si>
  <si>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</si>
  <si>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</si>
  <si>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</si>
  <si>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</si>
  <si>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</si>
  <si>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</si>
  <si>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</si>
  <si>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</si>
  <si>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</si>
  <si>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</si>
  <si>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</si>
  <si>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</si>
  <si>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</si>
  <si>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</si>
  <si>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</si>
  <si>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</si>
  <si>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</si>
  <si>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</si>
  <si>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</si>
  <si>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</si>
  <si>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</si>
  <si>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</si>
  <si>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</si>
  <si>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</si>
  <si>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</si>
  <si>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</si>
  <si>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</si>
  <si>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</si>
  <si>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</si>
  <si>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</si>
  <si>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</si>
  <si>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</si>
  <si>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</si>
  <si>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</si>
  <si>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</si>
  <si>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</si>
  <si>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</si>
  <si>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</si>
  <si>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</si>
  <si>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</si>
  <si>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</si>
  <si>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</si>
  <si>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</si>
  <si>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</si>
  <si>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</si>
  <si>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</si>
  <si>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</si>
  <si>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</si>
  <si>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</si>
  <si>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</si>
  <si>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</si>
  <si>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</si>
  <si>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</si>
  <si>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</si>
  <si>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</si>
  <si>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</si>
  <si>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</si>
  <si>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</si>
  <si>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</si>
  <si>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</si>
  <si>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</si>
  <si>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</si>
  <si>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</si>
  <si>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</si>
  <si>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</si>
  <si>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</si>
  <si>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</si>
  <si>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</si>
  <si>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</si>
  <si>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</si>
  <si>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</si>
  <si>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</si>
  <si>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</si>
  <si>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</si>
  <si>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</si>
  <si>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</si>
  <si>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</si>
  <si>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</si>
  <si>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</si>
  <si>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</si>
  <si>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</si>
  <si>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</si>
  <si>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</si>
  <si>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</si>
  <si>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</si>
  <si>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</si>
  <si>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</si>
  <si>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</si>
  <si>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</si>
  <si>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</si>
  <si>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</si>
  <si>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</si>
  <si>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</si>
  <si>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</si>
  <si>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</si>
  <si>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</si>
  <si>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</si>
  <si>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</si>
  <si>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</si>
  <si>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</si>
  <si>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</si>
  <si>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</si>
  <si>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</si>
  <si>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</si>
  <si>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</si>
  <si>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</si>
  <si>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</si>
  <si>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</si>
  <si>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</si>
  <si>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</si>
  <si>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</si>
  <si>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</si>
  <si>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</si>
  <si>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</si>
  <si>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</si>
  <si>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</si>
  <si>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</si>
  <si>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</si>
  <si>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</si>
  <si>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</si>
  <si>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</si>
  <si>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</si>
  <si>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</si>
  <si>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</si>
  <si>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</si>
  <si>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</si>
  <si>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</si>
  <si>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</si>
  <si>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</si>
  <si>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</si>
  <si>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</si>
  <si>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</si>
  <si>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</si>
  <si>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</si>
  <si>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</si>
  <si>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</si>
  <si>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</si>
  <si>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</si>
  <si>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</si>
  <si>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</si>
  <si>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</si>
  <si>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</si>
  <si>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</si>
  <si>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</si>
  <si>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</si>
  <si>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</si>
  <si>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</si>
  <si>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</si>
  <si>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</si>
  <si>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</si>
  <si>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</si>
  <si>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</si>
  <si>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</si>
  <si>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</si>
  <si>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</si>
  <si>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</si>
  <si>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</si>
  <si>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</si>
  <si>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</si>
  <si>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</si>
  <si>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</si>
  <si>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</si>
  <si>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</si>
  <si>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</si>
  <si>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</si>
  <si>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</si>
  <si>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</si>
  <si>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</si>
  <si>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</si>
  <si>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</si>
  <si>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</si>
  <si>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</si>
  <si>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</si>
  <si>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</si>
  <si>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</si>
  <si>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</si>
  <si>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</si>
  <si>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</si>
  <si>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</si>
  <si>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</si>
  <si>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</si>
  <si>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</si>
  <si>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</si>
  <si>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</si>
  <si>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</si>
  <si>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</si>
  <si>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</si>
  <si>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</si>
  <si>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</si>
  <si>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</si>
  <si>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</si>
  <si>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</si>
  <si>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</si>
  <si>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</si>
  <si>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</si>
  <si>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</si>
  <si>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</si>
  <si>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</si>
  <si>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</si>
  <si>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</si>
  <si>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</si>
  <si>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</si>
  <si>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</si>
  <si>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</si>
  <si>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</si>
  <si>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</si>
  <si>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</si>
  <si>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</si>
  <si>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</si>
  <si>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</si>
  <si>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</si>
  <si>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</si>
  <si>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</si>
  <si>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</si>
  <si>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</si>
  <si>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</si>
  <si>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</si>
  <si>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</si>
  <si>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</si>
  <si>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</si>
  <si>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</si>
  <si>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</si>
  <si>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</si>
  <si>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</si>
  <si>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</si>
  <si>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</si>
  <si>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</si>
  <si>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</si>
  <si>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</si>
  <si>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</si>
  <si>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</si>
  <si>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</si>
  <si>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</si>
  <si>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</si>
  <si>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</si>
  <si>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</si>
  <si>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</si>
  <si>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</si>
  <si>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</si>
  <si>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</si>
  <si>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</si>
  <si>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</si>
  <si>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</si>
  <si>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</si>
  <si>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</si>
  <si>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</si>
  <si>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</si>
  <si>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</si>
  <si>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</si>
  <si>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</si>
  <si>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</si>
  <si>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</si>
  <si>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</si>
  <si>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</si>
  <si>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</si>
  <si>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</si>
  <si>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</si>
  <si>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</si>
  <si>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</si>
  <si>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</si>
  <si>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</si>
  <si>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</si>
  <si>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</si>
  <si>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</si>
  <si>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</si>
  <si>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</si>
  <si>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</si>
  <si>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</si>
  <si>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</si>
  <si>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</si>
  <si>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</si>
  <si>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</si>
  <si>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</si>
  <si>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</si>
  <si>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</si>
  <si>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</si>
  <si>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</si>
  <si>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</si>
  <si>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</si>
  <si>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</si>
  <si>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</si>
  <si>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</si>
  <si>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</si>
  <si>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</si>
  <si>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</si>
  <si>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</si>
  <si>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</si>
  <si>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</si>
  <si>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</si>
  <si>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</si>
  <si>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</si>
  <si>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</si>
  <si>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</si>
  <si>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</si>
  <si>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</si>
  <si>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</si>
  <si>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</si>
  <si>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</si>
  <si>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</si>
  <si>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</si>
  <si>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</si>
  <si>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</si>
  <si>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</si>
  <si>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</si>
  <si>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</si>
  <si>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</si>
  <si>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</si>
  <si>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</si>
  <si>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</si>
  <si>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</si>
  <si>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</si>
  <si>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</si>
  <si>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</si>
  <si>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</si>
  <si>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</si>
  <si>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</si>
  <si>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</si>
  <si>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</si>
  <si>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</si>
  <si>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</si>
  <si>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</si>
  <si>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</si>
  <si>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</si>
  <si>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</si>
  <si>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</si>
  <si>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</si>
  <si>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</si>
  <si>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</si>
  <si>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</si>
  <si>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</si>
  <si>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</si>
  <si>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</si>
  <si>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</si>
  <si>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</si>
  <si>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</si>
  <si>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</si>
  <si>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</si>
  <si>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</si>
  <si>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</si>
  <si>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</si>
  <si>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</si>
  <si>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</si>
  <si>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</si>
  <si>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</si>
  <si>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</si>
  <si>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</si>
  <si>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h</t>
  </si>
  <si>
    <t>29.51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</si>
  <si>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</si>
  <si>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</si>
  <si>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</si>
  <si>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</si>
  <si>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</si>
  <si>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</si>
  <si>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</si>
  <si>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</si>
  <si>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</si>
  <si>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</si>
  <si>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</si>
  <si>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</si>
  <si>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</si>
  <si>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</si>
  <si>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</si>
  <si>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</si>
  <si>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</si>
  <si>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</si>
  <si>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</si>
  <si>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</si>
  <si>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</si>
  <si>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</si>
  <si>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3.1</t>
  </si>
  <si>
    <t>3.2</t>
  </si>
  <si>
    <t>14.30</t>
  </si>
  <si>
    <t>15.18</t>
  </si>
  <si>
    <t>16.19</t>
  </si>
  <si>
    <t>21.14</t>
  </si>
  <si>
    <t>21.15</t>
  </si>
  <si>
    <t>21.16</t>
  </si>
  <si>
    <t>21.17</t>
  </si>
  <si>
    <t>21.18</t>
  </si>
  <si>
    <t>21.19</t>
  </si>
  <si>
    <t>21.20</t>
  </si>
  <si>
    <t>21.21</t>
  </si>
  <si>
    <t>21.22</t>
  </si>
  <si>
    <t>21.23</t>
  </si>
  <si>
    <t>21.24</t>
  </si>
  <si>
    <t>21.25</t>
  </si>
  <si>
    <t>21.26</t>
  </si>
  <si>
    <t>21.27</t>
  </si>
  <si>
    <t>Laudo técnico fotográfico - Elementos de Sinalização - Padrão BB</t>
  </si>
  <si>
    <t>Escavação Manual em Solo</t>
  </si>
  <si>
    <t>Reaterro/Aterro Manual de Solo</t>
  </si>
  <si>
    <t>Fixação/Refixação de telha e Cumeeira</t>
  </si>
  <si>
    <t>Impermeabilização de calha ou lajes descobertas com emulsão asfáltica com elastômeros, 3 demãos, com tela de poliéster</t>
  </si>
  <si>
    <t>Corrimão tubular em aço inox 1 1/2"</t>
  </si>
  <si>
    <t>Dobradiça em aço inox, para Porta de vidro temperado (dobradiça inferior ou superior completa)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</si>
  <si>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</si>
  <si>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</si>
  <si>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</si>
  <si>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</si>
  <si>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</si>
  <si>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</si>
  <si>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</si>
  <si>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</si>
  <si>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</si>
  <si>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Recarga de Extintor de Incêndio Portátil Com Carga de Água Pressurizada de 10L</t>
  </si>
  <si>
    <t>Recarga de Extintor de Incêndio Portátil Com Carga de Gás Carbônico (CO2) de 4KG</t>
  </si>
  <si>
    <t>Recarga de Extintor de Incêndio Portátil Com Carga de Gás Carbônico (CO2) de 6KG</t>
  </si>
  <si>
    <t>Recarga de Extintor de Incêndio Portátil Com Carga de Pó Químico Seco (PQS) de 4KG, Classe ABC</t>
  </si>
  <si>
    <t>Recarga de Extintor de Incêndio Portátil Com Carga de Pó Químico Seco (PQS) de 6KG, Classe ABC</t>
  </si>
  <si>
    <t>Recarga de Extintor de Incêndio Portátil Com Carga de Pó Químico Seco (PQS) de 8KG, Classe ABC</t>
  </si>
  <si>
    <t>Recarga de Extintor de Incêndio Portátil Com Carga de Pó Químico Seco (PQS) de 12KG, Classe ABC</t>
  </si>
  <si>
    <t>Recarga de Extintor de Incêndio Portátil Com Carga de Pó Químico Seco (PQS) de 4KG, Classe BC</t>
  </si>
  <si>
    <t>Recarga de Extintor de Incêndio Portátil Com Carga de Pó Químico Seco (PQS) de 6KG, Classe BC</t>
  </si>
  <si>
    <t>Recarga de Extintor de Incêndio Portátil Com Carga de Pó Químico Seco (PQS) de 8KG, Classe BC</t>
  </si>
  <si>
    <t>Recarga de Extintor de Incêndio Portátil Com Carga de Pó Químico Seco (PQS) de 12KG, Classe BC</t>
  </si>
  <si>
    <t>Recarga de Extintor de Incêndio Sobre Rodas com Carga de Pó Químico Seco (PQS) de 20KG</t>
  </si>
  <si>
    <t>Recarga de Extintor de Incêndio Sobre Rodas com Carga de Pó Químico Seco (PQS) de 50KG</t>
  </si>
  <si>
    <t>Recarga de Extintor de Incêndio Sobre Rodas Com Carga de Água - 75L</t>
  </si>
  <si>
    <t xml:space="preserve">Fita de piso fotoluminescente - autoadesivo (referência: Fita Antiderrapante Fosforescente Neon Safety-Walk 3M) - largura: 50mm </t>
  </si>
  <si>
    <t>Caminhão com Cesto Aereo Isolado</t>
  </si>
  <si>
    <t>Manutenção Preventiva de Elementos de Sinalização LED - Padrão BB</t>
  </si>
  <si>
    <t>Luminária LED retangular de embutir ou sobrepor</t>
  </si>
  <si>
    <t>10.24</t>
  </si>
  <si>
    <t>Aplicação de Solução Antiderrapante em Pisos Frios, Inclusive mão de obra especializada</t>
  </si>
  <si>
    <t>MAFFENG ENGENHARIA E MANUTENÇÃO LTDA</t>
  </si>
  <si>
    <t>03</t>
  </si>
  <si>
    <t>33624704/0001-94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</si>
  <si>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</si>
  <si>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</si>
  <si>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</si>
  <si>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</si>
  <si>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</si>
  <si>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</si>
  <si>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 xml:space="preserve"> 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</si>
  <si>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</si>
  <si>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</si>
  <si>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</si>
  <si>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</si>
  <si>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</si>
  <si>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</si>
  <si>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</si>
  <si>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</si>
  <si>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</si>
  <si>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Endereço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</si>
  <si>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</si>
  <si>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</si>
  <si>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</si>
  <si>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</si>
  <si>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</si>
  <si>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</si>
  <si>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</si>
  <si>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</si>
  <si>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</si>
  <si>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</si>
  <si>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</si>
  <si>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</si>
  <si>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</si>
  <si>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</si>
  <si>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</si>
  <si>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</si>
  <si>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</si>
  <si>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</si>
  <si>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</si>
  <si>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</si>
  <si>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</si>
  <si>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</si>
  <si>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</si>
  <si>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</si>
  <si>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</si>
  <si>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</si>
  <si>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</si>
  <si>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</si>
  <si>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</si>
  <si>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</si>
  <si>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</si>
  <si>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</si>
  <si>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</si>
  <si>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</si>
  <si>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</si>
  <si>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</si>
  <si>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</si>
  <si>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</si>
  <si>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</si>
  <si>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</si>
  <si>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</si>
  <si>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</si>
  <si>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</si>
  <si>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</si>
  <si>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</si>
  <si>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</si>
  <si>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</si>
  <si>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</si>
  <si>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</si>
  <si>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</si>
  <si>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</si>
  <si>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</si>
  <si>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</si>
  <si>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</si>
  <si>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</si>
  <si>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</si>
  <si>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</si>
  <si>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</si>
  <si>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</si>
  <si>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</si>
  <si>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</si>
  <si>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</si>
  <si>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</si>
  <si>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SB</t>
  </si>
  <si>
    <t>NOME DA AGÊNCIA</t>
  </si>
  <si>
    <t>ENDEREÇO</t>
  </si>
  <si>
    <t>MUNICÍPIO</t>
  </si>
  <si>
    <t>TAUBATE</t>
  </si>
  <si>
    <t>PCA.DOM EPAMINONDAS 84</t>
  </si>
  <si>
    <t>MEX-1.B AV EX</t>
  </si>
  <si>
    <t>ESTR.DOS REMEDIOS 2135</t>
  </si>
  <si>
    <t>SAO JOSE DOS CAMPOS</t>
  </si>
  <si>
    <t>AVENIDA DOUTOR NELSON D'AVILA _149</t>
  </si>
  <si>
    <t>MOGI DAS CRUZES</t>
  </si>
  <si>
    <t>AV.VOL.FERNANDO PINHEIRO FRANCO 432</t>
  </si>
  <si>
    <t>GUARATINGUETA</t>
  </si>
  <si>
    <t>RUA MONSENHOR FILIPPO 193</t>
  </si>
  <si>
    <t>FAB-E E A R</t>
  </si>
  <si>
    <t>AV.BRIG.ADHEMAR LIRIO S/N</t>
  </si>
  <si>
    <t>CRUZEIRO-SP</t>
  </si>
  <si>
    <t>R.CAP.NECO 320/326</t>
  </si>
  <si>
    <t>CRUZEIRO</t>
  </si>
  <si>
    <t>PINDAMONHANGABA</t>
  </si>
  <si>
    <t>PCA.MONS.MARCONDES 90</t>
  </si>
  <si>
    <t>JACAREI</t>
  </si>
  <si>
    <t>AV SEN JOAQUIM M M DE SIQUEIRA 25</t>
  </si>
  <si>
    <t>SAO SEBASTIAO-SP</t>
  </si>
  <si>
    <t>R.DUQUE DE CAXIAS 204</t>
  </si>
  <si>
    <t>SAO SEBASTIAO</t>
  </si>
  <si>
    <t>SUZANO</t>
  </si>
  <si>
    <t>RUA GENERAL FRANCISCO GLICERIO 472</t>
  </si>
  <si>
    <t>LORENA</t>
  </si>
  <si>
    <t>PCA.DR.ARNOLFO DE AZEVEDO 93</t>
  </si>
  <si>
    <t>CAMPOS DO JORDAO</t>
  </si>
  <si>
    <t>AV.FREI ORESTES GIRARDI 837</t>
  </si>
  <si>
    <t>JARDIM SATELITE</t>
  </si>
  <si>
    <t>AV.ANDROMEDA 693</t>
  </si>
  <si>
    <t>APARECIDA</t>
  </si>
  <si>
    <t>R.BARAO DO RIO BRANCO 367</t>
  </si>
  <si>
    <t>ARUJA</t>
  </si>
  <si>
    <t>AV.ANTONIO AFONSO DE LIMA 475</t>
  </si>
  <si>
    <t>BANANAL</t>
  </si>
  <si>
    <t>PCA.RUBIAO JUNIOR 93</t>
  </si>
  <si>
    <t>BIRITIBA-MIRIM</t>
  </si>
  <si>
    <t>R.HENRIQUE PERES 216</t>
  </si>
  <si>
    <t>CACAPAVA</t>
  </si>
  <si>
    <t>AV.CEL.MANOEL INOCENCIO 525</t>
  </si>
  <si>
    <t>CARAGUATATUBA</t>
  </si>
  <si>
    <t>AV.MIGUEL VARLEZ 136</t>
  </si>
  <si>
    <t>PM-CARAGUATATUBA</t>
  </si>
  <si>
    <t>R.LUIZ PASSOS JUNIOR 50</t>
  </si>
  <si>
    <t>CUNHA</t>
  </si>
  <si>
    <t>PCA.CONEGO SIQUEIRA 37</t>
  </si>
  <si>
    <t>GUARAREMA</t>
  </si>
  <si>
    <t>RUA RANGEL JUNIOR 170</t>
  </si>
  <si>
    <t>POA</t>
  </si>
  <si>
    <t>AV.NOVE DE JULHO 443</t>
  </si>
  <si>
    <t>EMPRESA S.J.CAMPOS</t>
  </si>
  <si>
    <t>AV.DR.NELSON D AVILA 149</t>
  </si>
  <si>
    <t>EMBRAER 104</t>
  </si>
  <si>
    <t>AV.BRIG.FARIA LIMA 2170</t>
  </si>
  <si>
    <t>SANTA BRANCA</t>
  </si>
  <si>
    <t>R.INDEPENDENCIA 477</t>
  </si>
  <si>
    <t>SANTA ISABEL</t>
  </si>
  <si>
    <t>AVENIDA REPUBLICA 130</t>
  </si>
  <si>
    <t>SAO BENTO DO SAPUCAI</t>
  </si>
  <si>
    <t>AV.CONS.RODRIGUES ALVES 356</t>
  </si>
  <si>
    <t>SAO LUIS PARAITINGA</t>
  </si>
  <si>
    <t>R.TRINTA E UM DE MARCO 1-A</t>
  </si>
  <si>
    <t>SAO LUIS DO PARAITINGA</t>
  </si>
  <si>
    <t>UBATUBA</t>
  </si>
  <si>
    <t>RUA CONCEICAO 138</t>
  </si>
  <si>
    <t>CACHOEIRA PAULISTA</t>
  </si>
  <si>
    <t>AV.SEVERINO MOREIRA BARBOSA 50</t>
  </si>
  <si>
    <t>XV DE NOVEMBRO-SP</t>
  </si>
  <si>
    <t>R.QUINZE DE NOVEMBRO 294</t>
  </si>
  <si>
    <t>VILA OLIVEIRA</t>
  </si>
  <si>
    <t>R.CEL.SOUZA FRANCO 1185</t>
  </si>
  <si>
    <t>CASTEJON</t>
  </si>
  <si>
    <t>PCA.CANDIDO DIAS CASTEJON 73</t>
  </si>
  <si>
    <t>PRAIA NORTE EMPREEND</t>
  </si>
  <si>
    <t>AV WALKIR VERGANI 614</t>
  </si>
  <si>
    <t>ILHABELA</t>
  </si>
  <si>
    <t>AV.PRINCESA ISABEL 2039</t>
  </si>
  <si>
    <t>ESCR.EXC.SJ.CAMPOS</t>
  </si>
  <si>
    <t>AV DOUTOR NELSON D AVILA 149</t>
  </si>
  <si>
    <t>ESTILO S.JOSE CAMPOS</t>
  </si>
  <si>
    <t>AV.BARAO DO RIO BRANCO 1178</t>
  </si>
  <si>
    <t>GENERAL MOTORS SJC</t>
  </si>
  <si>
    <t>AV.GAL.MOTORS DO BRASIL 1959</t>
  </si>
  <si>
    <t>CATEDRAL-GUARA</t>
  </si>
  <si>
    <t>AVENIDA JOAO PESSOA 1458</t>
  </si>
  <si>
    <t>RUA BISPO RODOVALHO</t>
  </si>
  <si>
    <t>R.BISPO RODOVALHO 4/8</t>
  </si>
  <si>
    <t>EDIFICIO ATRIUM-MOGI</t>
  </si>
  <si>
    <t>R PRESIDENTE RODRIGUES ALVES 215</t>
  </si>
  <si>
    <t>RUA ANDRADAS-PINDA</t>
  </si>
  <si>
    <t>R.DOS ANDRADAS 280</t>
  </si>
  <si>
    <t>PCA.ROSARIO-JACAREI</t>
  </si>
  <si>
    <t>R.ALFREDO SCHURIG 172</t>
  </si>
  <si>
    <t>VALE DO PARAIBA</t>
  </si>
  <si>
    <t>AV.DR. NELSON D AVILA 203</t>
  </si>
  <si>
    <t>PARAIBUNA</t>
  </si>
  <si>
    <t>R. MAJOR UBATUBANO 133</t>
  </si>
  <si>
    <t>SAO JOSE DO BARREIRO</t>
  </si>
  <si>
    <t>PCA.PREF.JOSE DE MARINS FREIRE 21</t>
  </si>
  <si>
    <t>PIQUETE</t>
  </si>
  <si>
    <t>PCA.DA BANDEIRA 52</t>
  </si>
  <si>
    <t>REDENCAO DA SERRA</t>
  </si>
  <si>
    <t>R.QUINZE DE NOVEMBRO 829</t>
  </si>
  <si>
    <t>PCA.RUY BARBOSA-POA</t>
  </si>
  <si>
    <t>TV.MIGUEL SAAD 130</t>
  </si>
  <si>
    <t>CIDADE DAS FLORES-SP</t>
  </si>
  <si>
    <t>R.GAL.FRANCISCO GLICERIO 987</t>
  </si>
  <si>
    <t>MONTEIRO LOBATO</t>
  </si>
  <si>
    <t>PCA.DEP.A.S.CUNHA BUENO 210</t>
  </si>
  <si>
    <t>TREMEMBE</t>
  </si>
  <si>
    <t>RUA ANTONIO LOURENCO XAVIER 142</t>
  </si>
  <si>
    <t>PRAIA DE CARAGUA</t>
  </si>
  <si>
    <t>PCA.DR.CANDIDO MOTTA 163</t>
  </si>
  <si>
    <t>SANTANA DO PARAIBA</t>
  </si>
  <si>
    <t>AV.RUI BARBOSA 2234</t>
  </si>
  <si>
    <t>SANTO ANTONIO PINHAL</t>
  </si>
  <si>
    <t>R.GOV.CARVALHO PINTO 260</t>
  </si>
  <si>
    <t>SANTO ANTONIO DO PINHAL</t>
  </si>
  <si>
    <t>ESCR.EXC.TAUBATE</t>
  </si>
  <si>
    <t>PC DOM EPAMINONDAS 84</t>
  </si>
  <si>
    <t>VILA N.S.GRACAS</t>
  </si>
  <si>
    <t>AV.MAL.DEODORO 494</t>
  </si>
  <si>
    <t>ROSEIRA</t>
  </si>
  <si>
    <t>PCA.SANT ANA 351</t>
  </si>
  <si>
    <t>JARDIM JABOTICABEIRA</t>
  </si>
  <si>
    <t>AV.INDEPENDENCIA 1100</t>
  </si>
  <si>
    <t>ANDROMEDA-S.J.CAMPOS</t>
  </si>
  <si>
    <t>AV.ANDROMEDA 1787</t>
  </si>
  <si>
    <t>R.FCO.AFONSO-MOGI</t>
  </si>
  <si>
    <t>RUA FRANCISCO AFFONSO DE MELO N.96</t>
  </si>
  <si>
    <t>VILA TATETUBA</t>
  </si>
  <si>
    <t>AV.PRES.JUSCELINO KUBITSCHEK 8260</t>
  </si>
  <si>
    <t>ESCR.EXC.MOGI SP</t>
  </si>
  <si>
    <t>AV.VOLUNT.FERN.PINH.FRANCO 432</t>
  </si>
  <si>
    <t>ESTILO TAUBATE</t>
  </si>
  <si>
    <t>AV.CHARLES SCHINEIDER 1601</t>
  </si>
  <si>
    <t>ESTILO MOGI CRUZES</t>
  </si>
  <si>
    <t>R.CORONEL SOUZA FRANCO 1535</t>
  </si>
  <si>
    <t>FORUM ARUJA</t>
  </si>
  <si>
    <t>AV.ALBINO RODRIGUES NEVES 394</t>
  </si>
  <si>
    <t>FORUM BANANAL</t>
  </si>
  <si>
    <t>PCA.RUBIAO JUNIOR 305</t>
  </si>
  <si>
    <t>FORUM SALESOPOLIS</t>
  </si>
  <si>
    <t>R.ALFEREZ JOSE LUIZ CARVALHO 314</t>
  </si>
  <si>
    <t>SALESOPOLIS</t>
  </si>
  <si>
    <t>FORUM CUNHA</t>
  </si>
  <si>
    <t>PCA.PRUDENTE GUIMARAES 12</t>
  </si>
  <si>
    <t>FORUM SANTA ISABEL</t>
  </si>
  <si>
    <t>PCA.DA BANDEIRA S/N</t>
  </si>
  <si>
    <t>FORUM S.BENTO SAPUCA</t>
  </si>
  <si>
    <t>R.CAP.PROCOPIO MARCONDES AZEVEDO 43</t>
  </si>
  <si>
    <t>FORUM S.L.PARAITINGA</t>
  </si>
  <si>
    <t>AV.VER.JOSE PINTO DE SOUZA S/N</t>
  </si>
  <si>
    <t>FORUM CACHOEIRA PTA</t>
  </si>
  <si>
    <t>PCA.PRADO FILHO S/N</t>
  </si>
  <si>
    <t>FORUM GUARATINGUETA</t>
  </si>
  <si>
    <t>AV.DR.ARIBERTO PEREIRA DA CUNHA 280</t>
  </si>
  <si>
    <t>FORUM TAUBATE</t>
  </si>
  <si>
    <t>R.JOSE LICURGO INDIANI S/N</t>
  </si>
  <si>
    <t>FOR.PINDAMONHANGABA</t>
  </si>
  <si>
    <t>R.ALCIDES RAMOS NOGUEIRA 780</t>
  </si>
  <si>
    <t>FORUM JACAREI</t>
  </si>
  <si>
    <t>PCA.DOS TRES PODERES S/N</t>
  </si>
  <si>
    <t>UNESP S.JOSE CAMPOS</t>
  </si>
  <si>
    <t>AV.ENG.FRANCISCO JOSE LONGO 777</t>
  </si>
  <si>
    <t>FORUM SUZANO</t>
  </si>
  <si>
    <t>AV.PAULO PORTELA S/N</t>
  </si>
  <si>
    <t>FORUM CARAGUATATUBA</t>
  </si>
  <si>
    <t>R.JOSE RABELO DA CUNHA 73</t>
  </si>
  <si>
    <t>FORUM ROSEIRA</t>
  </si>
  <si>
    <t>R.DOM EPAMINONDAS 54</t>
  </si>
  <si>
    <t>FORUM BRAZ CUBAS</t>
  </si>
  <si>
    <t>AVENIDA VALENTINA MELLO FREIRE BORENSTEIN N. 331</t>
  </si>
  <si>
    <t>C.TECN.AEROESPACIAL</t>
  </si>
  <si>
    <t>PCA.MAL.EDUARDO GOMES 50</t>
  </si>
  <si>
    <t>FORUM MOGI CRUZES</t>
  </si>
  <si>
    <t>AV.CANDIDO XAVIER DE A.SOUZA 159</t>
  </si>
  <si>
    <t>FORUM S.JOSE CAMPOS</t>
  </si>
  <si>
    <t>AVENIDA SALMAO 678</t>
  </si>
  <si>
    <t>EST.INV.VALE PARAIBA</t>
  </si>
  <si>
    <t>AV.DR.NELSON D AVILA 203</t>
  </si>
  <si>
    <t>UNESP-FEG</t>
  </si>
  <si>
    <t>AV.DR.ARIBERTO PEREIRA DA CUNHA 333</t>
  </si>
  <si>
    <t>ESTILO CASTEJON</t>
  </si>
  <si>
    <t>FORUM APARECIDA</t>
  </si>
  <si>
    <t>AV.PADROEIRA DO BRASIL 180</t>
  </si>
  <si>
    <t>FORUM CRUZEIRO</t>
  </si>
  <si>
    <t>RUA FRANCISCO MARZANO 100</t>
  </si>
  <si>
    <t>FORUM QUELUZ</t>
  </si>
  <si>
    <t>PCA.PORTUGAL 174</t>
  </si>
  <si>
    <t>QUELUZ</t>
  </si>
  <si>
    <t>FORUM UBATUBA</t>
  </si>
  <si>
    <t>R.SERGIO LUCINDO S/N</t>
  </si>
  <si>
    <t>FORUM SAO SEBASTIAO</t>
  </si>
  <si>
    <t>R EMÃDIO ORSELI 333</t>
  </si>
  <si>
    <t>FORUM CACAPAVA</t>
  </si>
  <si>
    <t>PCA.DA BANDEIRA 177</t>
  </si>
  <si>
    <t>ESCR.EXC.VALE</t>
  </si>
  <si>
    <t>ESCR.EXC.ALTO TIETE</t>
  </si>
  <si>
    <t>AV.VOL.FERNANDO P.FRANCO 432</t>
  </si>
  <si>
    <t>EMPRESA MOGI CRUZES</t>
  </si>
  <si>
    <t>R.CORONEL SOUZA FRANCO 1185</t>
  </si>
  <si>
    <t>EMPRESA TAUBATE</t>
  </si>
  <si>
    <t>ESCOLA ENG. LORENAN</t>
  </si>
  <si>
    <t>ESTRADA MUNICIPAL DO CAMPINHO S/N</t>
  </si>
  <si>
    <t>FORUM LORENA-SP</t>
  </si>
  <si>
    <t>AVENIDA DOUTOR EPITACIO SANTIAGO 99</t>
  </si>
  <si>
    <t>FORUM SANTA BRANCA</t>
  </si>
  <si>
    <t>AV.CEL.ALFREDO DE LIMA 90</t>
  </si>
  <si>
    <t>FORUM POA</t>
  </si>
  <si>
    <t>AV.NOVE DE JULHO 478</t>
  </si>
  <si>
    <t>GM INJET.PLASTICOS</t>
  </si>
  <si>
    <t>R.GAL.MOTORS 1959</t>
  </si>
  <si>
    <t>GM POWERTRAIN II</t>
  </si>
  <si>
    <t>INPE</t>
  </si>
  <si>
    <t>AV.DOS ASTRONAUTAS 1758</t>
  </si>
  <si>
    <t>PETROBRAS-REF.H.LAG</t>
  </si>
  <si>
    <t>ROD.PRES.DUTRA KM 143 S/N</t>
  </si>
  <si>
    <t>Relação das Dependências do Lote 03 - São José dos Campos (SP)</t>
  </si>
  <si>
    <t xml:space="preserve"> 2025.7421.0908</t>
  </si>
  <si>
    <t>Responsável</t>
  </si>
  <si>
    <t>Preventiva</t>
  </si>
  <si>
    <t>Normal</t>
  </si>
  <si>
    <t>Levantamento Preventivo</t>
  </si>
  <si>
    <t>F6798701 - SISTEMA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</si>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</sst>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_-* #,##0_-;\-* #,##0_-;_-* &quot;-&quot;??_-;_-@_-"/>
    <numFmt numFmtId="168" formatCode="&quot;R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26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rgb="FFFFFF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rgb="FFFFFF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FF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FFFF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5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49" fontId="10" fillId="0" borderId="0" xfId="0" applyNumberFormat="1" applyFont="1"/>
    <xf numFmtId="0" fontId="10" fillId="0" borderId="37" xfId="0" applyFont="1" applyBorder="1" applyAlignment="1" applyProtection="1">
      <alignment horizontal="center" vertical="center"/>
      <protection locked="0"/>
    </xf>
    <xf numFmtId="3" fontId="11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168" fontId="17" fillId="0" borderId="37" xfId="0" applyNumberFormat="1" applyFont="1" applyBorder="1" applyAlignment="1">
      <alignment horizontal="center" vertical="center"/>
    </xf>
    <xf numFmtId="168" fontId="17" fillId="0" borderId="3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12" borderId="24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8" fontId="17" fillId="0" borderId="18" xfId="0" applyNumberFormat="1" applyFont="1" applyBorder="1" applyAlignment="1">
      <alignment horizontal="center" vertical="center"/>
    </xf>
    <xf numFmtId="168" fontId="10" fillId="0" borderId="18" xfId="0" applyNumberFormat="1" applyFont="1" applyBorder="1" applyAlignment="1">
      <alignment horizontal="center" vertical="center"/>
    </xf>
    <xf numFmtId="0" fontId="23" fillId="0" borderId="0" xfId="0" applyFont="1"/>
    <xf numFmtId="0" fontId="24" fillId="0" borderId="48" xfId="0" applyFont="1" applyBorder="1" applyAlignment="1">
      <alignment horizontal="center" vertical="top" wrapText="1"/>
    </xf>
    <xf numFmtId="0" fontId="24" fillId="0" borderId="49" xfId="0" applyFont="1" applyBorder="1" applyAlignment="1">
      <alignment horizontal="center" vertical="top" wrapText="1"/>
    </xf>
    <xf numFmtId="0" fontId="24" fillId="0" borderId="50" xfId="0" applyFont="1" applyBorder="1" applyAlignment="1">
      <alignment horizontal="center" vertical="top" wrapText="1"/>
    </xf>
    <xf numFmtId="1" fontId="26" fillId="0" borderId="46" xfId="0" applyNumberFormat="1" applyFont="1" applyBorder="1" applyAlignment="1">
      <alignment horizontal="center" vertical="top" shrinkToFit="1"/>
    </xf>
    <xf numFmtId="1" fontId="26" fillId="0" borderId="45" xfId="0" applyNumberFormat="1" applyFont="1" applyBorder="1" applyAlignment="1">
      <alignment horizontal="center" vertical="top" shrinkToFit="1"/>
    </xf>
    <xf numFmtId="0" fontId="27" fillId="0" borderId="45" xfId="0" applyFont="1" applyBorder="1" applyAlignment="1">
      <alignment horizontal="center" vertical="top" wrapText="1"/>
    </xf>
    <xf numFmtId="0" fontId="27" fillId="0" borderId="47" xfId="0" applyFont="1" applyBorder="1" applyAlignment="1">
      <alignment horizontal="center" vertical="top" wrapText="1"/>
    </xf>
    <xf numFmtId="1" fontId="26" fillId="0" borderId="51" xfId="0" applyNumberFormat="1" applyFont="1" applyBorder="1" applyAlignment="1">
      <alignment horizontal="center" vertical="top" shrinkToFit="1"/>
    </xf>
    <xf numFmtId="1" fontId="26" fillId="0" borderId="52" xfId="0" applyNumberFormat="1" applyFont="1" applyBorder="1" applyAlignment="1">
      <alignment horizontal="center" vertical="top" shrinkToFit="1"/>
    </xf>
    <xf numFmtId="0" fontId="27" fillId="0" borderId="52" xfId="0" applyFont="1" applyBorder="1" applyAlignment="1">
      <alignment horizontal="center" vertical="top" wrapText="1"/>
    </xf>
    <xf numFmtId="0" fontId="27" fillId="0" borderId="53" xfId="0" applyFont="1" applyBorder="1" applyAlignment="1">
      <alignment horizontal="center" vertical="top" wrapText="1"/>
    </xf>
    <xf numFmtId="2" fontId="10" fillId="12" borderId="18" xfId="0" applyNumberFormat="1" applyFont="1" applyFill="1" applyBorder="1" applyAlignment="1">
      <alignment horizontal="center" vertical="center"/>
    </xf>
    <xf numFmtId="2" fontId="11" fillId="0" borderId="18" xfId="0" applyNumberFormat="1" applyFont="1" applyBorder="1" applyAlignment="1" applyProtection="1">
      <alignment horizontal="center" vertical="center"/>
      <protection locked="0"/>
    </xf>
    <xf numFmtId="2" fontId="17" fillId="0" borderId="40" xfId="0" applyNumberFormat="1" applyFont="1" applyBorder="1" applyAlignment="1">
      <alignment horizontal="center" vertical="center"/>
    </xf>
    <xf numFmtId="2" fontId="10" fillId="0" borderId="0" xfId="0" applyNumberFormat="1" applyFont="1"/>
    <xf numFmtId="0" fontId="11" fillId="0" borderId="3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2" fontId="11" fillId="0" borderId="38" xfId="0" applyNumberFormat="1" applyFont="1" applyBorder="1" applyAlignment="1">
      <alignment horizontal="center" vertical="center"/>
    </xf>
    <xf numFmtId="2" fontId="11" fillId="0" borderId="31" xfId="0" applyNumberFormat="1" applyFont="1" applyBorder="1" applyAlignment="1">
      <alignment horizontal="center" vertical="center"/>
    </xf>
    <xf numFmtId="14" fontId="10" fillId="0" borderId="41" xfId="0" applyNumberFormat="1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42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14" fontId="10" fillId="0" borderId="28" xfId="0" applyNumberFormat="1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12" borderId="18" xfId="0" applyFont="1" applyFill="1" applyBorder="1" applyAlignment="1">
      <alignment horizontal="left"/>
    </xf>
    <xf numFmtId="0" fontId="10" fillId="0" borderId="37" xfId="0" applyFont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2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12" borderId="37" xfId="0" applyFont="1" applyFill="1" applyBorder="1" applyAlignment="1">
      <alignment horizontal="left"/>
    </xf>
    <xf numFmtId="0" fontId="10" fillId="12" borderId="38" xfId="0" applyFont="1" applyFill="1" applyBorder="1" applyAlignment="1">
      <alignment horizontal="left"/>
    </xf>
    <xf numFmtId="0" fontId="10" fillId="12" borderId="37" xfId="0" applyFont="1" applyFill="1" applyBorder="1" applyAlignment="1">
      <alignment horizontal="left" vertical="center"/>
    </xf>
    <xf numFmtId="0" fontId="10" fillId="12" borderId="18" xfId="0" applyFont="1" applyFill="1" applyBorder="1" applyAlignment="1">
      <alignment horizontal="left" vertical="center"/>
    </xf>
    <xf numFmtId="0" fontId="10" fillId="0" borderId="24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center"/>
      <protection locked="0"/>
    </xf>
    <xf numFmtId="14" fontId="10" fillId="0" borderId="3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40" xfId="0" applyNumberFormat="1" applyFont="1" applyBorder="1" applyAlignment="1">
      <alignment horizontal="center" vertical="center"/>
    </xf>
    <xf numFmtId="168" fontId="17" fillId="0" borderId="26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9" fillId="12" borderId="3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40" xfId="0" applyFont="1" applyFill="1" applyBorder="1" applyAlignment="1">
      <alignment horizontal="center" vertical="center"/>
    </xf>
    <xf numFmtId="0" fontId="10" fillId="12" borderId="24" xfId="0" applyFont="1" applyFill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center" vertical="center" wrapText="1"/>
    </xf>
    <xf numFmtId="0" fontId="10" fillId="12" borderId="31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12" borderId="24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0" borderId="25" xfId="0" applyFont="1" applyBorder="1" applyAlignment="1" applyProtection="1">
      <alignment horizontal="left" vertical="center"/>
      <protection locked="0"/>
    </xf>
    <xf numFmtId="14" fontId="10" fillId="0" borderId="24" xfId="0" applyNumberFormat="1" applyFont="1" applyBorder="1" applyAlignment="1" applyProtection="1">
      <alignment horizontal="center" vertical="center"/>
      <protection locked="0"/>
    </xf>
    <xf numFmtId="0" fontId="10" fillId="0" borderId="26" xfId="0" applyFont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 applyProtection="1">
      <alignment horizontal="center" vertical="center"/>
      <protection locked="0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10" fillId="0" borderId="32" xfId="0" applyFont="1" applyBorder="1" applyAlignment="1" applyProtection="1">
      <alignment horizontal="center" vertical="center"/>
      <protection locked="0"/>
    </xf>
    <xf numFmtId="0" fontId="10" fillId="0" borderId="24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11" fillId="12" borderId="31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0" fillId="12" borderId="39" xfId="0" applyFont="1" applyFill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12" borderId="27" xfId="0" applyFont="1" applyFill="1" applyBorder="1" applyAlignment="1">
      <alignment horizontal="left" vertical="center"/>
    </xf>
    <xf numFmtId="0" fontId="10" fillId="0" borderId="26" xfId="0" applyFont="1" applyBorder="1" applyAlignment="1" applyProtection="1">
      <alignment horizontal="left" vertical="center" wrapText="1"/>
      <protection locked="0"/>
    </xf>
    <xf numFmtId="0" fontId="10" fillId="0" borderId="31" xfId="0" applyFont="1" applyBorder="1" applyAlignment="1" applyProtection="1">
      <alignment horizontal="left" vertical="center"/>
      <protection locked="0"/>
    </xf>
    <xf numFmtId="0" fontId="10" fillId="12" borderId="28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7" fillId="0" borderId="24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10" fillId="0" borderId="28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12" borderId="28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3" xfId="0" applyFont="1" applyFill="1" applyBorder="1" applyAlignment="1">
      <alignment horizontal="left" vertical="center"/>
    </xf>
    <xf numFmtId="0" fontId="10" fillId="12" borderId="34" xfId="0" applyFont="1" applyFill="1" applyBorder="1" applyAlignment="1">
      <alignment horizontal="left" vertical="center"/>
    </xf>
    <xf numFmtId="0" fontId="10" fillId="12" borderId="35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/>
    </xf>
    <xf numFmtId="0" fontId="10" fillId="12" borderId="33" xfId="0" applyFont="1" applyFill="1" applyBorder="1" applyAlignment="1">
      <alignment horizontal="left"/>
    </xf>
    <xf numFmtId="0" fontId="10" fillId="12" borderId="34" xfId="0" applyFont="1" applyFill="1" applyBorder="1" applyAlignment="1">
      <alignment horizontal="left"/>
    </xf>
    <xf numFmtId="0" fontId="10" fillId="12" borderId="36" xfId="0" applyFont="1" applyFill="1" applyBorder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21" fillId="0" borderId="18" xfId="0" applyFont="1" applyBorder="1" applyAlignment="1">
      <alignment horizontal="justify"/>
    </xf>
    <xf numFmtId="0" fontId="21" fillId="0" borderId="43" xfId="0" applyFont="1" applyBorder="1" applyAlignment="1">
      <alignment horizontal="justify"/>
    </xf>
    <xf numFmtId="0" fontId="0" fillId="0" borderId="18" xfId="0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68" fontId="17" fillId="0" borderId="18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0" fillId="15" borderId="18" xfId="0" applyFont="1" applyFill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0" fillId="0" borderId="18" xfId="0" applyBorder="1" applyAlignment="1">
      <alignment horizontal="left" vertical="center"/>
    </xf>
    <xf numFmtId="0" fontId="9" fillId="12" borderId="18" xfId="0" applyFont="1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/>
      <protection locked="0"/>
    </xf>
    <xf numFmtId="0" fontId="19" fillId="0" borderId="18" xfId="0" applyFon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4" fontId="2" fillId="11" borderId="18" xfId="0" applyNumberFormat="1" applyFont="1" applyFill="1" applyBorder="1" applyAlignment="1">
      <alignment horizontal="center" vertical="center" wrapText="1"/>
    </xf>
    <xf numFmtId="4" fontId="4" fillId="12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4" fontId="4" fillId="10" borderId="18" xfId="0" applyNumberFormat="1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167" fontId="3" fillId="10" borderId="7" xfId="1" applyNumberFormat="1" applyFont="1" applyFill="1" applyBorder="1" applyAlignment="1" applyProtection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2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alignment horizontal="center" vertical="top" textRotation="0" indent="0" justifyLastLine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724087</xdr:colOff>
      <xdr:row>56</xdr:row>
      <xdr:rowOff>332815</xdr:rowOff>
    </xdr:from>
    <xdr:to>
      <xdr:col>6</xdr:col>
      <xdr:colOff>856983</xdr:colOff>
      <xdr:row>62</xdr:row>
      <xdr:rowOff>22413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940CEF-B316-4681-BFCC-6F704DA80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087" y="17395639"/>
          <a:ext cx="3875661" cy="1198656"/>
        </a:xfrm>
        <a:prstGeom prst="rect">
          <a:avLst/>
        </a:prstGeom>
      </xdr:spPr>
    </xdr:pic>
    <xdr:clientData/>
  </xdr:twoCellAnchor>
  <xdr:twoCellAnchor editAs="oneCell">
    <xdr:from>
      <xdr:col>8</xdr:col>
      <xdr:colOff>824305</xdr:colOff>
      <xdr:row>62</xdr:row>
      <xdr:rowOff>85501</xdr:rowOff>
    </xdr:from>
    <xdr:to>
      <xdr:col>17</xdr:col>
      <xdr:colOff>100854</xdr:colOff>
      <xdr:row>69</xdr:row>
      <xdr:rowOff>67235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B941ED-3C07-42B3-80EB-F9CA812E2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8246" y="18911383"/>
          <a:ext cx="3198608" cy="1763470"/>
        </a:xfrm>
        <a:prstGeom prst="rect">
          <a:avLst/>
        </a:prstGeom>
      </xdr:spPr>
    </xdr:pic>
    <xdr:clientData/>
  </xdr:twoCellAnchor>
  <xdr:twoCellAnchor editAs="oneCell">
    <xdr:from>
      <xdr:col>1</xdr:col>
      <xdr:colOff>502024</xdr:colOff>
      <xdr:row>61</xdr:row>
      <xdr:rowOff>170329</xdr:rowOff>
    </xdr:from>
    <xdr:to>
      <xdr:col>4</xdr:col>
      <xdr:colOff>136973</xdr:colOff>
      <xdr:row>66</xdr:row>
      <xdr:rowOff>287040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1945B19-65FE-0896-AA6C-8AC3B39D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553" y="18404541"/>
          <a:ext cx="1867161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555625</xdr:colOff>
      <xdr:row>31</xdr:row>
      <xdr:rowOff>31750</xdr:rowOff>
    </xdr:from>
    <xdr:to>
      <xdr:col>6</xdr:col>
      <xdr:colOff>56696</xdr:colOff>
      <xdr:row>39</xdr:row>
      <xdr:rowOff>161426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659E3A-999B-4399-95AD-72B81711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25" y="7429500"/>
          <a:ext cx="3707946" cy="2050551"/>
        </a:xfrm>
        <a:prstGeom prst="rect">
          <a:avLst/>
        </a:prstGeom>
      </xdr:spPr>
    </xdr:pic>
    <xdr:clientData/>
  </xdr:twoCellAnchor>
  <xdr:twoCellAnchor editAs="oneCell">
    <xdr:from>
      <xdr:col>7</xdr:col>
      <xdr:colOff>1327150</xdr:colOff>
      <xdr:row>39</xdr:row>
      <xdr:rowOff>44449</xdr:rowOff>
    </xdr:from>
    <xdr:to>
      <xdr:col>15</xdr:col>
      <xdr:colOff>469900</xdr:colOff>
      <xdr:row>48</xdr:row>
      <xdr:rowOff>92972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9C0E03-1950-4078-8E4B-CCCED3FC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850" y="9061449"/>
          <a:ext cx="3016250" cy="1610623"/>
        </a:xfrm>
        <a:prstGeom prst="rect">
          <a:avLst/>
        </a:prstGeom>
      </xdr:spPr>
    </xdr:pic>
    <xdr:clientData/>
  </xdr:twoCellAnchor>
  <xdr:twoCellAnchor editAs="oneCell">
    <xdr:from>
      <xdr:col>7</xdr:col>
      <xdr:colOff>215900</xdr:colOff>
      <xdr:row>38</xdr:row>
      <xdr:rowOff>25400</xdr:rowOff>
    </xdr:from>
    <xdr:to>
      <xdr:col>8</xdr:col>
      <xdr:colOff>686061</xdr:colOff>
      <xdr:row>45</xdr:row>
      <xdr:rowOff>170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962CBF-8A5D-72FA-7F71-E73E6EF08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700" y="8864600"/>
          <a:ext cx="1867161" cy="12193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DB891-A4A6-4F64-B3D0-6A0D9AD10A3C}" name="Tabela1" displayName="Tabela1" ref="A4:E112" totalsRowShown="0" headerRowDxfId="11" dataDxfId="9" headerRowBorderDxfId="10" tableBorderDxfId="8" totalsRowBorderDxfId="7">
  <autoFilter ref="A4:E112" xr:uid="{96FDB891-A4A6-4F64-B3D0-6A0D9AD10A3C}"/>
  <tableColumns count="5">
    <tableColumn id="1" xr3:uid="{B6A32863-824F-4123-83B2-C91E6C2AE210}" name="PREFIXO" dataDxfId="6"/>
    <tableColumn id="2" xr3:uid="{8FD1C6F4-1FF9-4C89-8F53-878C9FFD28A5}" name="SB" dataDxfId="5"/>
    <tableColumn id="3" xr3:uid="{D8B3FDCF-B214-41A5-B1BC-73BC971F6EFD}" name="NOME DA AGÊNCIA" dataDxfId="4"/>
    <tableColumn id="4" xr3:uid="{8FCADF31-C2C8-496C-ADAB-7FEC982053E6}" name="ENDEREÇO" dataDxfId="3"/>
    <tableColumn id="5" xr3:uid="{4F5280D2-3F21-4AE0-A49B-E47380506839}" name="MUNICÍPIO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7508-F4E1-4C41-9519-AB1A3D5BFB3D}">
  <dimension ref="B1:T71"/>
  <sheetViews>
    <sheetView tabSelected="1" topLeftCell="A7" zoomScale="85" zoomScaleNormal="85" zoomScaleSheetLayoutView="85" workbookViewId="0">
      <selection activeCell="F70" sqref="F70"/>
    </sheetView>
  </sheetViews>
  <sheetFormatPr defaultColWidth="9.109375" defaultRowHeight="14.4" x14ac:dyDescent="0.3"/>
  <cols>
    <col min="1" max="1" width="9.109375" style="90"/>
    <col min="2" max="2" width="13" style="90" customWidth="1"/>
    <col min="3" max="3" width="9.109375" style="90" customWidth="1"/>
    <col min="4" max="4" width="10.44140625" style="90" customWidth="1"/>
    <col min="5" max="5" width="11.88671875" style="90" customWidth="1"/>
    <col min="6" max="6" width="9.109375" style="90" customWidth="1"/>
    <col min="7" max="7" width="18.109375" style="90" customWidth="1"/>
    <col min="8" max="8" width="9.109375" style="90" customWidth="1"/>
    <col min="9" max="9" width="18.109375" style="126" bestFit="1" customWidth="1"/>
    <col min="10" max="11" width="9.109375" style="90"/>
    <col min="12" max="12" width="9.109375" style="90" customWidth="1"/>
    <col min="13" max="16" width="13.44140625" style="90" hidden="1" customWidth="1"/>
    <col min="17" max="17" width="13.44140625" style="90" customWidth="1"/>
    <col min="18" max="16384" width="9.109375" style="90"/>
  </cols>
  <sheetData>
    <row r="1" spans="2:20" ht="15.6" x14ac:dyDescent="0.3">
      <c r="B1" s="192" t="s">
        <v>1070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</row>
    <row r="2" spans="2:20" ht="15.6" x14ac:dyDescent="0.3">
      <c r="B2" s="193" t="s">
        <v>1071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</row>
    <row r="3" spans="2:20" ht="21.75" customHeight="1" x14ac:dyDescent="0.3">
      <c r="B3" s="172" t="s">
        <v>1072</v>
      </c>
      <c r="C3" s="186"/>
      <c r="D3" s="172" t="s">
        <v>1073</v>
      </c>
      <c r="E3" s="173"/>
      <c r="F3" s="186"/>
      <c r="G3" s="194" t="s">
        <v>1074</v>
      </c>
      <c r="H3" s="190"/>
      <c r="I3" s="190"/>
      <c r="J3" s="149" t="s">
        <v>1075</v>
      </c>
      <c r="K3" s="149"/>
      <c r="L3" s="149"/>
      <c r="M3" s="149"/>
      <c r="N3" s="149"/>
      <c r="O3" s="149"/>
      <c r="P3" s="149"/>
      <c r="Q3" s="149"/>
      <c r="S3" s="90" t="s">
        <v>1076</v>
      </c>
      <c r="T3" s="95"/>
    </row>
    <row r="4" spans="2:20" ht="21" x14ac:dyDescent="0.3">
      <c r="B4" s="200">
        <v>250195016</v>
      </c>
      <c r="C4" s="201"/>
      <c r="D4" s="202">
        <v>46361</v>
      </c>
      <c r="E4" s="203"/>
      <c r="F4" s="203"/>
      <c r="G4" s="204" t="s">
        <v>1373</v>
      </c>
      <c r="H4" s="205"/>
      <c r="I4" s="206"/>
      <c r="J4" s="207" t="s">
        <v>1077</v>
      </c>
      <c r="K4" s="208"/>
      <c r="L4" s="208"/>
      <c r="M4" s="208"/>
      <c r="N4" s="208"/>
      <c r="O4" s="208"/>
      <c r="P4" s="208"/>
      <c r="Q4" s="209"/>
    </row>
    <row r="5" spans="2:20" x14ac:dyDescent="0.3">
      <c r="B5" s="210" t="s">
        <v>1078</v>
      </c>
      <c r="C5" s="211"/>
      <c r="D5" s="197" t="s">
        <v>1079</v>
      </c>
      <c r="E5" s="198"/>
      <c r="F5" s="212"/>
      <c r="G5" s="197" t="s">
        <v>1080</v>
      </c>
      <c r="H5" s="198"/>
      <c r="I5" s="198"/>
      <c r="J5" s="210" t="s">
        <v>1081</v>
      </c>
      <c r="K5" s="211"/>
      <c r="L5" s="211"/>
      <c r="M5" s="211"/>
      <c r="N5" s="211"/>
      <c r="O5" s="211"/>
      <c r="P5" s="211"/>
      <c r="Q5" s="216"/>
    </row>
    <row r="6" spans="2:20" x14ac:dyDescent="0.3">
      <c r="B6" s="217" t="s">
        <v>1082</v>
      </c>
      <c r="C6" s="218"/>
      <c r="D6" s="213"/>
      <c r="E6" s="214"/>
      <c r="F6" s="215"/>
      <c r="G6" s="194" t="s">
        <v>1083</v>
      </c>
      <c r="H6" s="190"/>
      <c r="I6" s="190"/>
      <c r="J6" s="217" t="s">
        <v>1084</v>
      </c>
      <c r="K6" s="218"/>
      <c r="L6" s="218"/>
      <c r="M6" s="218"/>
      <c r="N6" s="218"/>
      <c r="O6" s="218"/>
      <c r="P6" s="218"/>
      <c r="Q6" s="219"/>
    </row>
    <row r="7" spans="2:20" ht="26.25" customHeight="1" x14ac:dyDescent="0.3">
      <c r="B7" s="180" t="s">
        <v>1379</v>
      </c>
      <c r="C7" s="177"/>
      <c r="D7" s="176">
        <v>46080</v>
      </c>
      <c r="E7" s="177"/>
      <c r="F7" s="178"/>
      <c r="G7" s="179" t="s">
        <v>1375</v>
      </c>
      <c r="H7" s="133"/>
      <c r="I7" s="133"/>
      <c r="J7" s="180" t="s">
        <v>1376</v>
      </c>
      <c r="K7" s="177"/>
      <c r="L7" s="177"/>
      <c r="M7" s="177"/>
      <c r="N7" s="177"/>
      <c r="O7" s="177"/>
      <c r="P7" s="177"/>
      <c r="Q7" s="181"/>
    </row>
    <row r="8" spans="2:20" x14ac:dyDescent="0.3">
      <c r="B8" s="172" t="s">
        <v>1085</v>
      </c>
      <c r="C8" s="173"/>
      <c r="D8" s="173"/>
      <c r="E8" s="173"/>
      <c r="F8" s="186"/>
      <c r="G8" s="197" t="s">
        <v>1086</v>
      </c>
      <c r="H8" s="198"/>
      <c r="I8" s="198"/>
      <c r="J8" s="198"/>
      <c r="K8" s="198"/>
      <c r="L8" s="198"/>
      <c r="M8" s="198"/>
      <c r="N8" s="198"/>
      <c r="O8" s="198"/>
      <c r="P8" s="198"/>
      <c r="Q8" s="199"/>
    </row>
    <row r="9" spans="2:20" ht="24" customHeight="1" x14ac:dyDescent="0.3">
      <c r="B9" s="96">
        <v>7027</v>
      </c>
      <c r="C9" s="169" t="str">
        <f>VLOOKUP(B9,Prefixos!A4:E112,3,0)</f>
        <v>VILA TATETUBA</v>
      </c>
      <c r="D9" s="170"/>
      <c r="E9" s="170"/>
      <c r="F9" s="171"/>
      <c r="G9" s="184" t="str">
        <f>VLOOKUP(B9,Prefixos!A4:E112,4,0)</f>
        <v>AV.PRES.JUSCELINO KUBITSCHEK 8260</v>
      </c>
      <c r="H9" s="170"/>
      <c r="I9" s="170"/>
      <c r="J9" s="170"/>
      <c r="K9" s="170"/>
      <c r="L9" s="170"/>
      <c r="M9" s="170"/>
      <c r="N9" s="170"/>
      <c r="O9" s="170"/>
      <c r="P9" s="170"/>
      <c r="Q9" s="185"/>
    </row>
    <row r="10" spans="2:20" x14ac:dyDescent="0.3">
      <c r="B10" s="172" t="s">
        <v>1087</v>
      </c>
      <c r="C10" s="173"/>
      <c r="D10" s="173"/>
      <c r="E10" s="173"/>
      <c r="F10" s="186"/>
      <c r="G10" s="172" t="s">
        <v>1088</v>
      </c>
      <c r="H10" s="173"/>
      <c r="I10" s="173"/>
      <c r="J10" s="173"/>
      <c r="K10" s="173"/>
      <c r="L10" s="173"/>
      <c r="M10" s="173"/>
      <c r="N10" s="173"/>
      <c r="O10" s="173"/>
      <c r="P10" s="173"/>
      <c r="Q10" s="174"/>
    </row>
    <row r="11" spans="2:20" ht="30.75" customHeight="1" x14ac:dyDescent="0.3">
      <c r="B11" s="150" t="s">
        <v>1374</v>
      </c>
      <c r="C11" s="151"/>
      <c r="D11" s="151"/>
      <c r="E11" s="151"/>
      <c r="F11" s="175"/>
      <c r="G11" s="195" t="s">
        <v>1378</v>
      </c>
      <c r="H11" s="151"/>
      <c r="I11" s="151"/>
      <c r="J11" s="151"/>
      <c r="K11" s="151"/>
      <c r="L11" s="151"/>
      <c r="M11" s="151"/>
      <c r="N11" s="151"/>
      <c r="O11" s="151"/>
      <c r="P11" s="151"/>
      <c r="Q11" s="196"/>
    </row>
    <row r="12" spans="2:20" ht="18" x14ac:dyDescent="0.3">
      <c r="B12" s="187" t="s">
        <v>1089</v>
      </c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9"/>
    </row>
    <row r="13" spans="2:20" x14ac:dyDescent="0.3">
      <c r="B13" s="173" t="s">
        <v>1090</v>
      </c>
      <c r="C13" s="173"/>
      <c r="D13" s="173"/>
      <c r="E13" s="173"/>
      <c r="F13" s="173"/>
      <c r="G13" s="173"/>
      <c r="H13" s="173"/>
      <c r="I13" s="173"/>
      <c r="J13" s="186"/>
      <c r="K13" s="190" t="s">
        <v>1091</v>
      </c>
      <c r="L13" s="190"/>
      <c r="M13" s="190"/>
      <c r="N13" s="190"/>
      <c r="O13" s="190"/>
      <c r="P13" s="190"/>
      <c r="Q13" s="191"/>
    </row>
    <row r="14" spans="2:20" ht="35.25" customHeight="1" x14ac:dyDescent="0.3">
      <c r="B14" s="133" t="s">
        <v>1377</v>
      </c>
      <c r="C14" s="133"/>
      <c r="D14" s="133"/>
      <c r="E14" s="133"/>
      <c r="F14" s="133"/>
      <c r="G14" s="133"/>
      <c r="H14" s="133"/>
      <c r="I14" s="133"/>
      <c r="J14" s="182"/>
      <c r="K14" s="179">
        <v>4</v>
      </c>
      <c r="L14" s="133"/>
      <c r="M14" s="133"/>
      <c r="N14" s="133"/>
      <c r="O14" s="133"/>
      <c r="P14" s="133"/>
      <c r="Q14" s="183"/>
    </row>
    <row r="15" spans="2:20" ht="42" customHeight="1" x14ac:dyDescent="0.3">
      <c r="B15" s="168" t="s">
        <v>1092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</row>
    <row r="16" spans="2:20" ht="15.6" x14ac:dyDescent="0.3">
      <c r="B16" s="161" t="s">
        <v>1093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</row>
    <row r="17" spans="2:17" x14ac:dyDescent="0.3">
      <c r="B17" s="79" t="s">
        <v>12</v>
      </c>
      <c r="C17" s="163" t="s">
        <v>1094</v>
      </c>
      <c r="D17" s="163"/>
      <c r="E17" s="163"/>
      <c r="F17" s="163"/>
      <c r="G17" s="163"/>
      <c r="H17" s="163"/>
      <c r="I17" s="123" t="s">
        <v>1095</v>
      </c>
      <c r="J17" s="79" t="s">
        <v>1096</v>
      </c>
      <c r="K17" s="163" t="s">
        <v>1097</v>
      </c>
      <c r="L17" s="163"/>
      <c r="M17" s="79" t="s">
        <v>1098</v>
      </c>
      <c r="N17" s="79" t="s">
        <v>1099</v>
      </c>
      <c r="O17" s="79" t="s">
        <v>1100</v>
      </c>
      <c r="P17" s="79" t="s">
        <v>1101</v>
      </c>
      <c r="Q17" s="79" t="s">
        <v>1102</v>
      </c>
    </row>
    <row r="18" spans="2:17" ht="27" customHeight="1" x14ac:dyDescent="0.3">
      <c r="B18" s="97" t="s">
        <v>31</v>
      </c>
      <c r="C18" s="127" t="str">
        <f>UPPER(VLOOKUP(B18,Valores!$A$7:$J$537,2,0))</f>
        <v>DESLOCAMENTO</v>
      </c>
      <c r="D18" s="128"/>
      <c r="E18" s="128"/>
      <c r="F18" s="128"/>
      <c r="G18" s="128"/>
      <c r="H18" s="129"/>
      <c r="I18" s="124">
        <v>15</v>
      </c>
      <c r="J18" s="98" t="str">
        <f>UPPER(VLOOKUP(B18,Valores!$A$7:$J$537,4,0))</f>
        <v>KM</v>
      </c>
      <c r="K18" s="130" t="str">
        <f>UPPER(VLOOKUP(B18,Valores!$A$7:$J$537,7,0))</f>
        <v>2,15</v>
      </c>
      <c r="L18" s="131"/>
      <c r="M18" s="99" t="str">
        <f>UPPER(VLOOKUP(B18,Valores!$A$7:$J$537,5,0))</f>
        <v>1,51</v>
      </c>
      <c r="N18" s="99" t="str">
        <f>UPPER(VLOOKUP(B18,Valores!$A$7:$J$537,6,0))</f>
        <v>0,64</v>
      </c>
      <c r="O18" s="99">
        <f t="shared" ref="O18:O31" si="0">M18*I18</f>
        <v>22.65</v>
      </c>
      <c r="P18" s="99">
        <f t="shared" ref="P18:P31" si="1">N18*I18</f>
        <v>9.6</v>
      </c>
      <c r="Q18" s="99">
        <f t="shared" ref="Q18:Q31" si="2">K18*I18</f>
        <v>32.25</v>
      </c>
    </row>
    <row r="19" spans="2:17" ht="27" customHeight="1" x14ac:dyDescent="0.3">
      <c r="B19" s="97" t="s">
        <v>28</v>
      </c>
      <c r="C19" s="127" t="str">
        <f>UPPER(VLOOKUP(B19,Valores!$A$7:$J$537,2,0))</f>
        <v>CHAMADO</v>
      </c>
      <c r="D19" s="128"/>
      <c r="E19" s="128"/>
      <c r="F19" s="128"/>
      <c r="G19" s="128"/>
      <c r="H19" s="129"/>
      <c r="I19" s="124">
        <v>1</v>
      </c>
      <c r="J19" s="98" t="str">
        <f>UPPER(VLOOKUP(B19,Valores!$A$7:$J$537,4,0))</f>
        <v xml:space="preserve">UN </v>
      </c>
      <c r="K19" s="130" t="str">
        <f>UPPER(VLOOKUP(B19,Valores!$A$7:$J$537,7,0))</f>
        <v>76,34</v>
      </c>
      <c r="L19" s="131"/>
      <c r="M19" s="99" t="str">
        <f>UPPER(VLOOKUP(B19,Valores!$A$7:$J$537,5,0))</f>
        <v>0</v>
      </c>
      <c r="N19" s="99" t="str">
        <f>UPPER(VLOOKUP(B19,Valores!$A$7:$J$537,6,0))</f>
        <v>76,34</v>
      </c>
      <c r="O19" s="99">
        <f t="shared" si="0"/>
        <v>0</v>
      </c>
      <c r="P19" s="99">
        <f t="shared" si="1"/>
        <v>76.34</v>
      </c>
      <c r="Q19" s="99">
        <f>K19*I19</f>
        <v>76.34</v>
      </c>
    </row>
    <row r="20" spans="2:17" ht="27" customHeight="1" x14ac:dyDescent="0.3">
      <c r="B20" s="97"/>
      <c r="C20" s="127" t="e">
        <f>UPPER(VLOOKUP(B20,Valores!$A$7:$J$537,2,0))</f>
        <v>#N/A</v>
      </c>
      <c r="D20" s="128"/>
      <c r="E20" s="128"/>
      <c r="F20" s="128"/>
      <c r="G20" s="128"/>
      <c r="H20" s="129"/>
      <c r="I20" s="124"/>
      <c r="J20" s="98" t="e">
        <f>UPPER(VLOOKUP(B20,Valores!$A$7:$J$537,4,0))</f>
        <v>#N/A</v>
      </c>
      <c r="K20" s="130" t="e">
        <f>UPPER(VLOOKUP(B20,Valores!$A$7:$J$537,7,0))</f>
        <v>#N/A</v>
      </c>
      <c r="L20" s="131"/>
      <c r="M20" s="99" t="e">
        <f>UPPER(VLOOKUP(B20,Valores!$A$7:$J$537,5,0))</f>
        <v>#N/A</v>
      </c>
      <c r="N20" s="99" t="e">
        <f>UPPER(VLOOKUP(B20,Valores!$A$7:$J$537,6,0))</f>
        <v>#N/A</v>
      </c>
      <c r="O20" s="99" t="e">
        <f t="shared" si="0"/>
        <v>#N/A</v>
      </c>
      <c r="P20" s="99" t="e">
        <f t="shared" si="1"/>
        <v>#N/A</v>
      </c>
      <c r="Q20" s="99" t="e">
        <f t="shared" si="2"/>
        <v>#N/A</v>
      </c>
    </row>
    <row r="21" spans="2:17" ht="27" customHeight="1" x14ac:dyDescent="0.3">
      <c r="B21" s="97"/>
      <c r="C21" s="127" t="e">
        <f>UPPER(VLOOKUP(B21,Valores!$A$7:$J$537,2,0))</f>
        <v>#N/A</v>
      </c>
      <c r="D21" s="128"/>
      <c r="E21" s="128"/>
      <c r="F21" s="128"/>
      <c r="G21" s="128"/>
      <c r="H21" s="129"/>
      <c r="I21" s="124"/>
      <c r="J21" s="98" t="e">
        <f>UPPER(VLOOKUP(B21,Valores!$A$7:$J$537,4,0))</f>
        <v>#N/A</v>
      </c>
      <c r="K21" s="130" t="e">
        <f>UPPER(VLOOKUP(B21,Valores!$A$7:$J$537,7,0))</f>
        <v>#N/A</v>
      </c>
      <c r="L21" s="131"/>
      <c r="M21" s="99" t="e">
        <f>UPPER(VLOOKUP(B21,Valores!$A$7:$J$537,5,0))</f>
        <v>#N/A</v>
      </c>
      <c r="N21" s="99" t="e">
        <f>UPPER(VLOOKUP(B21,Valores!$A$7:$J$537,6,0))</f>
        <v>#N/A</v>
      </c>
      <c r="O21" s="99" t="e">
        <f t="shared" si="0"/>
        <v>#N/A</v>
      </c>
      <c r="P21" s="99" t="e">
        <f t="shared" si="1"/>
        <v>#N/A</v>
      </c>
      <c r="Q21" s="99" t="e">
        <f t="shared" si="2"/>
        <v>#N/A</v>
      </c>
    </row>
    <row r="22" spans="2:17" ht="26.25" customHeight="1" x14ac:dyDescent="0.3">
      <c r="B22" s="97"/>
      <c r="C22" s="127" t="e">
        <f>UPPER(VLOOKUP(B22,Valores!$A$7:$J$537,2,0))</f>
        <v>#N/A</v>
      </c>
      <c r="D22" s="128"/>
      <c r="E22" s="128"/>
      <c r="F22" s="128"/>
      <c r="G22" s="128"/>
      <c r="H22" s="129"/>
      <c r="I22" s="124"/>
      <c r="J22" s="98" t="e">
        <f>UPPER(VLOOKUP(B22,Valores!$A$7:$J$537,4,0))</f>
        <v>#N/A</v>
      </c>
      <c r="K22" s="130" t="e">
        <f>UPPER(VLOOKUP(B22,Valores!$A$7:$J$537,7,0))</f>
        <v>#N/A</v>
      </c>
      <c r="L22" s="131"/>
      <c r="M22" s="99" t="e">
        <f>UPPER(VLOOKUP(B22,Valores!$A$7:$J$537,5,0))</f>
        <v>#N/A</v>
      </c>
      <c r="N22" s="99" t="e">
        <f>UPPER(VLOOKUP(B22,Valores!$A$7:$J$537,6,0))</f>
        <v>#N/A</v>
      </c>
      <c r="O22" s="99" t="e">
        <f t="shared" si="0"/>
        <v>#N/A</v>
      </c>
      <c r="P22" s="99" t="e">
        <f t="shared" si="1"/>
        <v>#N/A</v>
      </c>
      <c r="Q22" s="99" t="e">
        <f t="shared" si="2"/>
        <v>#N/A</v>
      </c>
    </row>
    <row r="23" spans="2:17" ht="27" customHeight="1" x14ac:dyDescent="0.3">
      <c r="B23" s="97"/>
      <c r="C23" s="127" t="e">
        <f>UPPER(VLOOKUP(B23,Valores!$A$7:$J$537,2,0))</f>
        <v>#N/A</v>
      </c>
      <c r="D23" s="128"/>
      <c r="E23" s="128"/>
      <c r="F23" s="128"/>
      <c r="G23" s="128"/>
      <c r="H23" s="129"/>
      <c r="I23" s="124"/>
      <c r="J23" s="98" t="e">
        <f>UPPER(VLOOKUP(B23,Valores!$A$7:$J$537,4,0))</f>
        <v>#N/A</v>
      </c>
      <c r="K23" s="130" t="e">
        <f>UPPER(VLOOKUP(B23,Valores!$A$7:$J$537,7,0))</f>
        <v>#N/A</v>
      </c>
      <c r="L23" s="131"/>
      <c r="M23" s="99" t="e">
        <f>UPPER(VLOOKUP(B23,Valores!$A$7:$J$537,5,0))</f>
        <v>#N/A</v>
      </c>
      <c r="N23" s="99" t="e">
        <f>UPPER(VLOOKUP(B23,Valores!$A$7:$J$537,6,0))</f>
        <v>#N/A</v>
      </c>
      <c r="O23" s="99" t="e">
        <f t="shared" si="0"/>
        <v>#N/A</v>
      </c>
      <c r="P23" s="99" t="e">
        <f t="shared" si="1"/>
        <v>#N/A</v>
      </c>
      <c r="Q23" s="99" t="e">
        <f t="shared" si="2"/>
        <v>#N/A</v>
      </c>
    </row>
    <row r="24" spans="2:17" ht="27" customHeight="1" x14ac:dyDescent="0.3">
      <c r="B24" s="97"/>
      <c r="C24" s="127" t="e">
        <f>UPPER(VLOOKUP(B24,Valores!$A$7:$J$537,2,0))</f>
        <v>#N/A</v>
      </c>
      <c r="D24" s="128"/>
      <c r="E24" s="128"/>
      <c r="F24" s="128"/>
      <c r="G24" s="128"/>
      <c r="H24" s="129"/>
      <c r="I24" s="124"/>
      <c r="J24" s="98" t="e">
        <f>UPPER(VLOOKUP(B24,Valores!$A$7:$J$537,4,0))</f>
        <v>#N/A</v>
      </c>
      <c r="K24" s="130" t="e">
        <f>UPPER(VLOOKUP(B24,Valores!$A$7:$J$537,7,0))</f>
        <v>#N/A</v>
      </c>
      <c r="L24" s="131"/>
      <c r="M24" s="99" t="e">
        <f>UPPER(VLOOKUP(B24,Valores!$A$7:$J$537,5,0))</f>
        <v>#N/A</v>
      </c>
      <c r="N24" s="99" t="e">
        <f>UPPER(VLOOKUP(B24,Valores!$A$7:$J$537,6,0))</f>
        <v>#N/A</v>
      </c>
      <c r="O24" s="99" t="e">
        <f t="shared" si="0"/>
        <v>#N/A</v>
      </c>
      <c r="P24" s="99" t="e">
        <f t="shared" si="1"/>
        <v>#N/A</v>
      </c>
      <c r="Q24" s="99" t="e">
        <f t="shared" si="2"/>
        <v>#N/A</v>
      </c>
    </row>
    <row r="25" spans="2:17" ht="27" customHeight="1" x14ac:dyDescent="0.3">
      <c r="B25" s="97"/>
      <c r="C25" s="127" t="e">
        <f>UPPER(VLOOKUP(B25,Valores!$A$7:$J$537,2,0))</f>
        <v>#N/A</v>
      </c>
      <c r="D25" s="128"/>
      <c r="E25" s="128"/>
      <c r="F25" s="128"/>
      <c r="G25" s="128"/>
      <c r="H25" s="129"/>
      <c r="I25" s="124"/>
      <c r="J25" s="98" t="e">
        <f>UPPER(VLOOKUP(B25,Valores!$A$7:$J$537,4,0))</f>
        <v>#N/A</v>
      </c>
      <c r="K25" s="130" t="e">
        <f>UPPER(VLOOKUP(B25,Valores!$A$7:$J$537,7,0))</f>
        <v>#N/A</v>
      </c>
      <c r="L25" s="131"/>
      <c r="M25" s="99" t="e">
        <f>UPPER(VLOOKUP(B25,Valores!$A$7:$J$537,5,0))</f>
        <v>#N/A</v>
      </c>
      <c r="N25" s="99" t="e">
        <f>UPPER(VLOOKUP(B25,Valores!$A$7:$J$537,6,0))</f>
        <v>#N/A</v>
      </c>
      <c r="O25" s="99" t="e">
        <f t="shared" ref="O25:O28" si="3">M25*I25</f>
        <v>#N/A</v>
      </c>
      <c r="P25" s="99" t="e">
        <f t="shared" ref="P25:P28" si="4">N25*I25</f>
        <v>#N/A</v>
      </c>
      <c r="Q25" s="99" t="e">
        <f>K25*I25</f>
        <v>#N/A</v>
      </c>
    </row>
    <row r="26" spans="2:17" ht="27" customHeight="1" x14ac:dyDescent="0.3">
      <c r="B26" s="97"/>
      <c r="C26" s="127" t="e">
        <f>UPPER(VLOOKUP(B26,Valores!$A$7:$J$537,2,0))</f>
        <v>#N/A</v>
      </c>
      <c r="D26" s="128"/>
      <c r="E26" s="128"/>
      <c r="F26" s="128"/>
      <c r="G26" s="128"/>
      <c r="H26" s="129"/>
      <c r="I26" s="124"/>
      <c r="J26" s="98" t="e">
        <f>UPPER(VLOOKUP(B26,Valores!$A$7:$J$537,4,0))</f>
        <v>#N/A</v>
      </c>
      <c r="K26" s="130" t="e">
        <f>UPPER(VLOOKUP(B26,Valores!$A$7:$J$537,7,0))</f>
        <v>#N/A</v>
      </c>
      <c r="L26" s="131"/>
      <c r="M26" s="99" t="e">
        <f>UPPER(VLOOKUP(B26,Valores!$A$7:$J$537,5,0))</f>
        <v>#N/A</v>
      </c>
      <c r="N26" s="99" t="e">
        <f>UPPER(VLOOKUP(B26,Valores!$A$7:$J$537,6,0))</f>
        <v>#N/A</v>
      </c>
      <c r="O26" s="99" t="e">
        <f t="shared" si="3"/>
        <v>#N/A</v>
      </c>
      <c r="P26" s="99" t="e">
        <f t="shared" si="4"/>
        <v>#N/A</v>
      </c>
      <c r="Q26" s="99" t="e">
        <f t="shared" ref="Q26:Q28" si="5">K26*I26</f>
        <v>#N/A</v>
      </c>
    </row>
    <row r="27" spans="2:17" ht="27" customHeight="1" x14ac:dyDescent="0.3">
      <c r="B27" s="97"/>
      <c r="C27" s="127" t="e">
        <f>UPPER(VLOOKUP(B27,Valores!$A$7:$J$537,2,0))</f>
        <v>#N/A</v>
      </c>
      <c r="D27" s="128"/>
      <c r="E27" s="128"/>
      <c r="F27" s="128"/>
      <c r="G27" s="128"/>
      <c r="H27" s="129"/>
      <c r="I27" s="124"/>
      <c r="J27" s="98" t="e">
        <f>UPPER(VLOOKUP(B27,Valores!$A$7:$J$537,4,0))</f>
        <v>#N/A</v>
      </c>
      <c r="K27" s="130" t="e">
        <f>UPPER(VLOOKUP(B27,Valores!$A$7:$J$537,7,0))</f>
        <v>#N/A</v>
      </c>
      <c r="L27" s="131"/>
      <c r="M27" s="99" t="e">
        <f>UPPER(VLOOKUP(B27,Valores!$A$7:$J$537,5,0))</f>
        <v>#N/A</v>
      </c>
      <c r="N27" s="99" t="e">
        <f>UPPER(VLOOKUP(B27,Valores!$A$7:$J$537,6,0))</f>
        <v>#N/A</v>
      </c>
      <c r="O27" s="99" t="e">
        <f t="shared" si="3"/>
        <v>#N/A</v>
      </c>
      <c r="P27" s="99" t="e">
        <f t="shared" si="4"/>
        <v>#N/A</v>
      </c>
      <c r="Q27" s="99" t="e">
        <f t="shared" si="5"/>
        <v>#N/A</v>
      </c>
    </row>
    <row r="28" spans="2:17" ht="26.25" customHeight="1" x14ac:dyDescent="0.3">
      <c r="B28" s="97"/>
      <c r="C28" s="127" t="e">
        <f>UPPER(VLOOKUP(B28,Valores!$A$7:$J$537,2,0))</f>
        <v>#N/A</v>
      </c>
      <c r="D28" s="128"/>
      <c r="E28" s="128"/>
      <c r="F28" s="128"/>
      <c r="G28" s="128"/>
      <c r="H28" s="129"/>
      <c r="I28" s="124"/>
      <c r="J28" s="98" t="e">
        <f>UPPER(VLOOKUP(B28,Valores!$A$7:$J$537,4,0))</f>
        <v>#N/A</v>
      </c>
      <c r="K28" s="130" t="e">
        <f>UPPER(VLOOKUP(B28,Valores!$A$7:$J$537,7,0))</f>
        <v>#N/A</v>
      </c>
      <c r="L28" s="131"/>
      <c r="M28" s="99" t="e">
        <f>UPPER(VLOOKUP(B28,Valores!$A$7:$J$537,5,0))</f>
        <v>#N/A</v>
      </c>
      <c r="N28" s="99" t="e">
        <f>UPPER(VLOOKUP(B28,Valores!$A$7:$J$537,6,0))</f>
        <v>#N/A</v>
      </c>
      <c r="O28" s="99" t="e">
        <f t="shared" si="3"/>
        <v>#N/A</v>
      </c>
      <c r="P28" s="99" t="e">
        <f t="shared" si="4"/>
        <v>#N/A</v>
      </c>
      <c r="Q28" s="99" t="e">
        <f t="shared" si="5"/>
        <v>#N/A</v>
      </c>
    </row>
    <row r="29" spans="2:17" ht="27" customHeight="1" x14ac:dyDescent="0.3">
      <c r="B29" s="97"/>
      <c r="C29" s="127" t="e">
        <f>UPPER(VLOOKUP(B29,Valores!$A$7:$J$537,2,0))</f>
        <v>#N/A</v>
      </c>
      <c r="D29" s="128"/>
      <c r="E29" s="128"/>
      <c r="F29" s="128"/>
      <c r="G29" s="128"/>
      <c r="H29" s="129"/>
      <c r="I29" s="124"/>
      <c r="J29" s="98" t="e">
        <f>UPPER(VLOOKUP(B29,Valores!$A$7:$J$537,4,0))</f>
        <v>#N/A</v>
      </c>
      <c r="K29" s="130" t="e">
        <f>UPPER(VLOOKUP(B29,Valores!$A$7:$J$537,7,0))</f>
        <v>#N/A</v>
      </c>
      <c r="L29" s="131"/>
      <c r="M29" s="99" t="e">
        <f>UPPER(VLOOKUP(B29,Valores!$A$7:$J$537,5,0))</f>
        <v>#N/A</v>
      </c>
      <c r="N29" s="99" t="e">
        <f>UPPER(VLOOKUP(B29,Valores!$A$7:$J$537,6,0))</f>
        <v>#N/A</v>
      </c>
      <c r="O29" s="99" t="e">
        <f t="shared" si="0"/>
        <v>#N/A</v>
      </c>
      <c r="P29" s="99" t="e">
        <f t="shared" si="1"/>
        <v>#N/A</v>
      </c>
      <c r="Q29" s="99" t="e">
        <f t="shared" si="2"/>
        <v>#N/A</v>
      </c>
    </row>
    <row r="30" spans="2:17" ht="27" customHeight="1" x14ac:dyDescent="0.3">
      <c r="B30" s="97"/>
      <c r="C30" s="127" t="e">
        <f>UPPER(VLOOKUP(B30,Valores!$A$7:$J$537,2,0))</f>
        <v>#N/A</v>
      </c>
      <c r="D30" s="128"/>
      <c r="E30" s="128"/>
      <c r="F30" s="128"/>
      <c r="G30" s="128"/>
      <c r="H30" s="129"/>
      <c r="I30" s="124"/>
      <c r="J30" s="98" t="e">
        <f>UPPER(VLOOKUP(B30,Valores!$A$7:$J$537,4,0))</f>
        <v>#N/A</v>
      </c>
      <c r="K30" s="130" t="e">
        <f>UPPER(VLOOKUP(B30,Valores!$A$7:$J$537,7,0))</f>
        <v>#N/A</v>
      </c>
      <c r="L30" s="131"/>
      <c r="M30" s="99" t="e">
        <f>UPPER(VLOOKUP(B30,Valores!$A$7:$J$537,5,0))</f>
        <v>#N/A</v>
      </c>
      <c r="N30" s="99" t="e">
        <f>UPPER(VLOOKUP(B30,Valores!$A$7:$J$537,6,0))</f>
        <v>#N/A</v>
      </c>
      <c r="O30" s="99" t="e">
        <f t="shared" si="0"/>
        <v>#N/A</v>
      </c>
      <c r="P30" s="99" t="e">
        <f t="shared" si="1"/>
        <v>#N/A</v>
      </c>
      <c r="Q30" s="99" t="e">
        <f t="shared" si="2"/>
        <v>#N/A</v>
      </c>
    </row>
    <row r="31" spans="2:17" ht="27" customHeight="1" x14ac:dyDescent="0.3">
      <c r="B31" s="97"/>
      <c r="C31" s="127" t="e">
        <f>UPPER(VLOOKUP(B31,Valores!$A$7:$J$537,2,0))</f>
        <v>#N/A</v>
      </c>
      <c r="D31" s="128"/>
      <c r="E31" s="128"/>
      <c r="F31" s="128"/>
      <c r="G31" s="128"/>
      <c r="H31" s="129"/>
      <c r="I31" s="124"/>
      <c r="J31" s="98" t="e">
        <f>UPPER(VLOOKUP(B31,Valores!$A$7:$J$537,4,0))</f>
        <v>#N/A</v>
      </c>
      <c r="K31" s="130" t="e">
        <f>UPPER(VLOOKUP(B31,Valores!$A$7:$J$537,7,0))</f>
        <v>#N/A</v>
      </c>
      <c r="L31" s="131"/>
      <c r="M31" s="99" t="e">
        <f>UPPER(VLOOKUP(B31,Valores!$A$7:$J$537,5,0))</f>
        <v>#N/A</v>
      </c>
      <c r="N31" s="99" t="e">
        <f>UPPER(VLOOKUP(B31,Valores!$A$7:$J$537,6,0))</f>
        <v>#N/A</v>
      </c>
      <c r="O31" s="99" t="e">
        <f t="shared" si="0"/>
        <v>#N/A</v>
      </c>
      <c r="P31" s="99" t="e">
        <f t="shared" si="1"/>
        <v>#N/A</v>
      </c>
      <c r="Q31" s="99" t="e">
        <f t="shared" si="2"/>
        <v>#N/A</v>
      </c>
    </row>
    <row r="32" spans="2:17" ht="27" customHeight="1" x14ac:dyDescent="0.3">
      <c r="B32" s="97"/>
      <c r="C32" s="127" t="e">
        <f>UPPER(VLOOKUP(B32,Valores!$A$7:$J$537,2,0))</f>
        <v>#N/A</v>
      </c>
      <c r="D32" s="128"/>
      <c r="E32" s="128"/>
      <c r="F32" s="128"/>
      <c r="G32" s="128"/>
      <c r="H32" s="129"/>
      <c r="I32" s="124"/>
      <c r="J32" s="98" t="e">
        <f>UPPER(VLOOKUP(B32,Valores!$A$7:$J$537,4,0))</f>
        <v>#N/A</v>
      </c>
      <c r="K32" s="130" t="e">
        <f>UPPER(VLOOKUP(B32,Valores!$A$7:$J$537,7,0))</f>
        <v>#N/A</v>
      </c>
      <c r="L32" s="131"/>
      <c r="M32" s="99" t="e">
        <f>UPPER(VLOOKUP(B32,Valores!$A$7:$J$537,5,0))</f>
        <v>#N/A</v>
      </c>
      <c r="N32" s="99" t="e">
        <f>UPPER(VLOOKUP(B32,Valores!$A$7:$J$537,6,0))</f>
        <v>#N/A</v>
      </c>
      <c r="O32" s="99" t="e">
        <f t="shared" ref="O32:O45" si="6">M32*I32</f>
        <v>#N/A</v>
      </c>
      <c r="P32" s="99" t="e">
        <f t="shared" ref="P32:P45" si="7">N32*I32</f>
        <v>#N/A</v>
      </c>
      <c r="Q32" s="99" t="e">
        <f t="shared" ref="Q32:Q45" si="8">K32*I32</f>
        <v>#N/A</v>
      </c>
    </row>
    <row r="33" spans="2:17" ht="27" customHeight="1" x14ac:dyDescent="0.3">
      <c r="B33" s="97"/>
      <c r="C33" s="127" t="e">
        <f>UPPER(VLOOKUP(B33,Valores!$A$7:$J$537,2,0))</f>
        <v>#N/A</v>
      </c>
      <c r="D33" s="128"/>
      <c r="E33" s="128"/>
      <c r="F33" s="128"/>
      <c r="G33" s="128"/>
      <c r="H33" s="129"/>
      <c r="I33" s="124"/>
      <c r="J33" s="98" t="e">
        <f>UPPER(VLOOKUP(B33,Valores!$A$7:$J$537,4,0))</f>
        <v>#N/A</v>
      </c>
      <c r="K33" s="130" t="e">
        <f>UPPER(VLOOKUP(B33,Valores!$A$7:$J$537,7,0))</f>
        <v>#N/A</v>
      </c>
      <c r="L33" s="131"/>
      <c r="M33" s="99" t="e">
        <f>UPPER(VLOOKUP(B33,Valores!$A$7:$J$537,5,0))</f>
        <v>#N/A</v>
      </c>
      <c r="N33" s="99" t="e">
        <f>UPPER(VLOOKUP(B33,Valores!$A$7:$J$537,6,0))</f>
        <v>#N/A</v>
      </c>
      <c r="O33" s="99" t="e">
        <f t="shared" si="6"/>
        <v>#N/A</v>
      </c>
      <c r="P33" s="99" t="e">
        <f t="shared" si="7"/>
        <v>#N/A</v>
      </c>
      <c r="Q33" s="99" t="e">
        <f t="shared" si="8"/>
        <v>#N/A</v>
      </c>
    </row>
    <row r="34" spans="2:17" ht="26.25" customHeight="1" x14ac:dyDescent="0.3">
      <c r="B34" s="97"/>
      <c r="C34" s="127" t="e">
        <f>UPPER(VLOOKUP(B34,Valores!$A$7:$J$537,2,0))</f>
        <v>#N/A</v>
      </c>
      <c r="D34" s="128"/>
      <c r="E34" s="128"/>
      <c r="F34" s="128"/>
      <c r="G34" s="128"/>
      <c r="H34" s="129"/>
      <c r="I34" s="124"/>
      <c r="J34" s="98" t="e">
        <f>UPPER(VLOOKUP(B34,Valores!$A$7:$J$537,4,0))</f>
        <v>#N/A</v>
      </c>
      <c r="K34" s="130" t="e">
        <f>UPPER(VLOOKUP(B34,Valores!$A$7:$J$537,7,0))</f>
        <v>#N/A</v>
      </c>
      <c r="L34" s="131"/>
      <c r="M34" s="99" t="e">
        <f>UPPER(VLOOKUP(B34,Valores!$A$7:$J$537,5,0))</f>
        <v>#N/A</v>
      </c>
      <c r="N34" s="99" t="e">
        <f>UPPER(VLOOKUP(B34,Valores!$A$7:$J$537,6,0))</f>
        <v>#N/A</v>
      </c>
      <c r="O34" s="99" t="e">
        <f t="shared" si="6"/>
        <v>#N/A</v>
      </c>
      <c r="P34" s="99" t="e">
        <f t="shared" si="7"/>
        <v>#N/A</v>
      </c>
      <c r="Q34" s="99" t="e">
        <f t="shared" si="8"/>
        <v>#N/A</v>
      </c>
    </row>
    <row r="35" spans="2:17" ht="27" customHeight="1" x14ac:dyDescent="0.3">
      <c r="B35" s="97"/>
      <c r="C35" s="127" t="e">
        <f>UPPER(VLOOKUP(B35,Valores!$A$7:$J$537,2,0))</f>
        <v>#N/A</v>
      </c>
      <c r="D35" s="128"/>
      <c r="E35" s="128"/>
      <c r="F35" s="128"/>
      <c r="G35" s="128"/>
      <c r="H35" s="129"/>
      <c r="I35" s="124"/>
      <c r="J35" s="98" t="e">
        <f>UPPER(VLOOKUP(B35,Valores!$A$7:$J$537,4,0))</f>
        <v>#N/A</v>
      </c>
      <c r="K35" s="130" t="e">
        <f>UPPER(VLOOKUP(B35,Valores!$A$7:$J$537,7,0))</f>
        <v>#N/A</v>
      </c>
      <c r="L35" s="131"/>
      <c r="M35" s="99" t="e">
        <f>UPPER(VLOOKUP(B35,Valores!$A$7:$J$537,5,0))</f>
        <v>#N/A</v>
      </c>
      <c r="N35" s="99" t="e">
        <f>UPPER(VLOOKUP(B35,Valores!$A$7:$J$537,6,0))</f>
        <v>#N/A</v>
      </c>
      <c r="O35" s="99" t="e">
        <f t="shared" si="6"/>
        <v>#N/A</v>
      </c>
      <c r="P35" s="99" t="e">
        <f t="shared" si="7"/>
        <v>#N/A</v>
      </c>
      <c r="Q35" s="99" t="e">
        <f t="shared" si="8"/>
        <v>#N/A</v>
      </c>
    </row>
    <row r="36" spans="2:17" ht="27" customHeight="1" x14ac:dyDescent="0.3">
      <c r="B36" s="97"/>
      <c r="C36" s="127" t="e">
        <f>UPPER(VLOOKUP(B36,Valores!$A$7:$J$537,2,0))</f>
        <v>#N/A</v>
      </c>
      <c r="D36" s="128"/>
      <c r="E36" s="128"/>
      <c r="F36" s="128"/>
      <c r="G36" s="128"/>
      <c r="H36" s="129"/>
      <c r="I36" s="124"/>
      <c r="J36" s="98" t="e">
        <f>UPPER(VLOOKUP(B36,Valores!$A$7:$J$537,4,0))</f>
        <v>#N/A</v>
      </c>
      <c r="K36" s="130" t="e">
        <f>UPPER(VLOOKUP(B36,Valores!$A$7:$J$537,7,0))</f>
        <v>#N/A</v>
      </c>
      <c r="L36" s="131"/>
      <c r="M36" s="99" t="e">
        <f>UPPER(VLOOKUP(B36,Valores!$A$7:$J$537,5,0))</f>
        <v>#N/A</v>
      </c>
      <c r="N36" s="99" t="e">
        <f>UPPER(VLOOKUP(B36,Valores!$A$7:$J$537,6,0))</f>
        <v>#N/A</v>
      </c>
      <c r="O36" s="99" t="e">
        <f t="shared" si="6"/>
        <v>#N/A</v>
      </c>
      <c r="P36" s="99" t="e">
        <f t="shared" si="7"/>
        <v>#N/A</v>
      </c>
      <c r="Q36" s="99" t="e">
        <f t="shared" si="8"/>
        <v>#N/A</v>
      </c>
    </row>
    <row r="37" spans="2:17" ht="27" customHeight="1" x14ac:dyDescent="0.3">
      <c r="B37" s="97"/>
      <c r="C37" s="127" t="e">
        <f>UPPER(VLOOKUP(B37,Valores!$A$7:$J$537,2,0))</f>
        <v>#N/A</v>
      </c>
      <c r="D37" s="128"/>
      <c r="E37" s="128"/>
      <c r="F37" s="128"/>
      <c r="G37" s="128"/>
      <c r="H37" s="129"/>
      <c r="I37" s="124"/>
      <c r="J37" s="98" t="e">
        <f>UPPER(VLOOKUP(B37,Valores!$A$7:$J$537,4,0))</f>
        <v>#N/A</v>
      </c>
      <c r="K37" s="130" t="e">
        <f>UPPER(VLOOKUP(B37,Valores!$A$7:$J$537,7,0))</f>
        <v>#N/A</v>
      </c>
      <c r="L37" s="131"/>
      <c r="M37" s="99" t="e">
        <f>UPPER(VLOOKUP(B37,Valores!$A$7:$J$537,5,0))</f>
        <v>#N/A</v>
      </c>
      <c r="N37" s="99" t="e">
        <f>UPPER(VLOOKUP(B37,Valores!$A$7:$J$537,6,0))</f>
        <v>#N/A</v>
      </c>
      <c r="O37" s="99" t="e">
        <f t="shared" si="6"/>
        <v>#N/A</v>
      </c>
      <c r="P37" s="99" t="e">
        <f t="shared" si="7"/>
        <v>#N/A</v>
      </c>
      <c r="Q37" s="99" t="e">
        <f t="shared" si="8"/>
        <v>#N/A</v>
      </c>
    </row>
    <row r="38" spans="2:17" ht="27" customHeight="1" x14ac:dyDescent="0.3">
      <c r="B38" s="97"/>
      <c r="C38" s="127" t="e">
        <f>UPPER(VLOOKUP(B38,Valores!$A$7:$J$537,2,0))</f>
        <v>#N/A</v>
      </c>
      <c r="D38" s="128"/>
      <c r="E38" s="128"/>
      <c r="F38" s="128"/>
      <c r="G38" s="128"/>
      <c r="H38" s="129"/>
      <c r="I38" s="124"/>
      <c r="J38" s="98" t="e">
        <f>UPPER(VLOOKUP(B38,Valores!$A$7:$J$537,4,0))</f>
        <v>#N/A</v>
      </c>
      <c r="K38" s="130" t="e">
        <f>UPPER(VLOOKUP(B38,Valores!$A$7:$J$537,7,0))</f>
        <v>#N/A</v>
      </c>
      <c r="L38" s="131"/>
      <c r="M38" s="99" t="e">
        <f>UPPER(VLOOKUP(B38,Valores!$A$7:$J$537,5,0))</f>
        <v>#N/A</v>
      </c>
      <c r="N38" s="99" t="e">
        <f>UPPER(VLOOKUP(B38,Valores!$A$7:$J$537,6,0))</f>
        <v>#N/A</v>
      </c>
      <c r="O38" s="99" t="e">
        <f t="shared" si="6"/>
        <v>#N/A</v>
      </c>
      <c r="P38" s="99" t="e">
        <f t="shared" si="7"/>
        <v>#N/A</v>
      </c>
      <c r="Q38" s="99" t="e">
        <f t="shared" si="8"/>
        <v>#N/A</v>
      </c>
    </row>
    <row r="39" spans="2:17" ht="27" customHeight="1" x14ac:dyDescent="0.3">
      <c r="B39" s="97"/>
      <c r="C39" s="127" t="e">
        <f>UPPER(VLOOKUP(B39,Valores!$A$7:$J$537,2,0))</f>
        <v>#N/A</v>
      </c>
      <c r="D39" s="128"/>
      <c r="E39" s="128"/>
      <c r="F39" s="128"/>
      <c r="G39" s="128"/>
      <c r="H39" s="129"/>
      <c r="I39" s="124"/>
      <c r="J39" s="98" t="e">
        <f>UPPER(VLOOKUP(B39,Valores!$A$7:$J$537,4,0))</f>
        <v>#N/A</v>
      </c>
      <c r="K39" s="130" t="e">
        <f>UPPER(VLOOKUP(B39,Valores!$A$7:$J$537,7,0))</f>
        <v>#N/A</v>
      </c>
      <c r="L39" s="131"/>
      <c r="M39" s="99" t="e">
        <f>UPPER(VLOOKUP(B39,Valores!$A$7:$J$537,5,0))</f>
        <v>#N/A</v>
      </c>
      <c r="N39" s="99" t="e">
        <f>UPPER(VLOOKUP(B39,Valores!$A$7:$J$537,6,0))</f>
        <v>#N/A</v>
      </c>
      <c r="O39" s="99" t="e">
        <f t="shared" si="6"/>
        <v>#N/A</v>
      </c>
      <c r="P39" s="99" t="e">
        <f t="shared" si="7"/>
        <v>#N/A</v>
      </c>
      <c r="Q39" s="99" t="e">
        <f t="shared" si="8"/>
        <v>#N/A</v>
      </c>
    </row>
    <row r="40" spans="2:17" ht="26.25" customHeight="1" x14ac:dyDescent="0.3">
      <c r="B40" s="97"/>
      <c r="C40" s="127" t="e">
        <f>UPPER(VLOOKUP(B40,Valores!$A$7:$J$537,2,0))</f>
        <v>#N/A</v>
      </c>
      <c r="D40" s="128"/>
      <c r="E40" s="128"/>
      <c r="F40" s="128"/>
      <c r="G40" s="128"/>
      <c r="H40" s="129"/>
      <c r="I40" s="124"/>
      <c r="J40" s="98" t="e">
        <f>UPPER(VLOOKUP(B40,Valores!$A$7:$J$537,4,0))</f>
        <v>#N/A</v>
      </c>
      <c r="K40" s="130" t="e">
        <f>UPPER(VLOOKUP(B40,Valores!$A$7:$J$537,7,0))</f>
        <v>#N/A</v>
      </c>
      <c r="L40" s="131"/>
      <c r="M40" s="99" t="e">
        <f>UPPER(VLOOKUP(B40,Valores!$A$7:$J$537,5,0))</f>
        <v>#N/A</v>
      </c>
      <c r="N40" s="99" t="e">
        <f>UPPER(VLOOKUP(B40,Valores!$A$7:$J$537,6,0))</f>
        <v>#N/A</v>
      </c>
      <c r="O40" s="99" t="e">
        <f t="shared" si="6"/>
        <v>#N/A</v>
      </c>
      <c r="P40" s="99" t="e">
        <f t="shared" si="7"/>
        <v>#N/A</v>
      </c>
      <c r="Q40" s="99" t="e">
        <f t="shared" si="8"/>
        <v>#N/A</v>
      </c>
    </row>
    <row r="41" spans="2:17" ht="27" customHeight="1" x14ac:dyDescent="0.3">
      <c r="B41" s="97"/>
      <c r="C41" s="127" t="e">
        <f>UPPER(VLOOKUP(B41,Valores!$A$7:$J$537,2,0))</f>
        <v>#N/A</v>
      </c>
      <c r="D41" s="128"/>
      <c r="E41" s="128"/>
      <c r="F41" s="128"/>
      <c r="G41" s="128"/>
      <c r="H41" s="129"/>
      <c r="I41" s="124"/>
      <c r="J41" s="98" t="e">
        <f>UPPER(VLOOKUP(B41,Valores!$A$7:$J$537,4,0))</f>
        <v>#N/A</v>
      </c>
      <c r="K41" s="130" t="e">
        <f>UPPER(VLOOKUP(B41,Valores!$A$7:$J$537,7,0))</f>
        <v>#N/A</v>
      </c>
      <c r="L41" s="131"/>
      <c r="M41" s="99" t="e">
        <f>UPPER(VLOOKUP(B41,Valores!$A$7:$J$537,5,0))</f>
        <v>#N/A</v>
      </c>
      <c r="N41" s="99" t="e">
        <f>UPPER(VLOOKUP(B41,Valores!$A$7:$J$537,6,0))</f>
        <v>#N/A</v>
      </c>
      <c r="O41" s="99" t="e">
        <f t="shared" si="6"/>
        <v>#N/A</v>
      </c>
      <c r="P41" s="99" t="e">
        <f t="shared" si="7"/>
        <v>#N/A</v>
      </c>
      <c r="Q41" s="99" t="e">
        <f t="shared" si="8"/>
        <v>#N/A</v>
      </c>
    </row>
    <row r="42" spans="2:17" ht="27" customHeight="1" x14ac:dyDescent="0.3">
      <c r="B42" s="97"/>
      <c r="C42" s="127" t="e">
        <f>UPPER(VLOOKUP(B42,Valores!$A$7:$J$537,2,0))</f>
        <v>#N/A</v>
      </c>
      <c r="D42" s="128"/>
      <c r="E42" s="128"/>
      <c r="F42" s="128"/>
      <c r="G42" s="128"/>
      <c r="H42" s="129"/>
      <c r="I42" s="124"/>
      <c r="J42" s="98" t="e">
        <f>UPPER(VLOOKUP(B42,Valores!$A$7:$J$537,4,0))</f>
        <v>#N/A</v>
      </c>
      <c r="K42" s="130" t="e">
        <f>UPPER(VLOOKUP(B42,Valores!$A$7:$J$537,7,0))</f>
        <v>#N/A</v>
      </c>
      <c r="L42" s="131"/>
      <c r="M42" s="99" t="e">
        <f>UPPER(VLOOKUP(B42,Valores!$A$7:$J$537,5,0))</f>
        <v>#N/A</v>
      </c>
      <c r="N42" s="99" t="e">
        <f>UPPER(VLOOKUP(B42,Valores!$A$7:$J$537,6,0))</f>
        <v>#N/A</v>
      </c>
      <c r="O42" s="99" t="e">
        <f t="shared" si="6"/>
        <v>#N/A</v>
      </c>
      <c r="P42" s="99" t="e">
        <f t="shared" si="7"/>
        <v>#N/A</v>
      </c>
      <c r="Q42" s="99" t="e">
        <f t="shared" si="8"/>
        <v>#N/A</v>
      </c>
    </row>
    <row r="43" spans="2:17" ht="27" customHeight="1" x14ac:dyDescent="0.3">
      <c r="B43" s="97"/>
      <c r="C43" s="127" t="e">
        <f>UPPER(VLOOKUP(B43,Valores!$A$7:$J$537,2,0))</f>
        <v>#N/A</v>
      </c>
      <c r="D43" s="128"/>
      <c r="E43" s="128"/>
      <c r="F43" s="128"/>
      <c r="G43" s="128"/>
      <c r="H43" s="129"/>
      <c r="I43" s="124"/>
      <c r="J43" s="98" t="e">
        <f>UPPER(VLOOKUP(B43,Valores!$A$7:$J$537,4,0))</f>
        <v>#N/A</v>
      </c>
      <c r="K43" s="130" t="e">
        <f>UPPER(VLOOKUP(B43,Valores!$A$7:$J$537,7,0))</f>
        <v>#N/A</v>
      </c>
      <c r="L43" s="131"/>
      <c r="M43" s="99" t="e">
        <f>UPPER(VLOOKUP(B43,Valores!$A$7:$J$537,5,0))</f>
        <v>#N/A</v>
      </c>
      <c r="N43" s="99" t="e">
        <f>UPPER(VLOOKUP(B43,Valores!$A$7:$J$537,6,0))</f>
        <v>#N/A</v>
      </c>
      <c r="O43" s="99" t="e">
        <f t="shared" si="6"/>
        <v>#N/A</v>
      </c>
      <c r="P43" s="99" t="e">
        <f t="shared" si="7"/>
        <v>#N/A</v>
      </c>
      <c r="Q43" s="99" t="e">
        <f t="shared" si="8"/>
        <v>#N/A</v>
      </c>
    </row>
    <row r="44" spans="2:17" ht="27" customHeight="1" x14ac:dyDescent="0.3">
      <c r="B44" s="97"/>
      <c r="C44" s="127" t="e">
        <f>UPPER(VLOOKUP(B44,Valores!$A$7:$J$537,2,0))</f>
        <v>#N/A</v>
      </c>
      <c r="D44" s="128"/>
      <c r="E44" s="128"/>
      <c r="F44" s="128"/>
      <c r="G44" s="128"/>
      <c r="H44" s="129"/>
      <c r="I44" s="124"/>
      <c r="J44" s="98" t="e">
        <f>UPPER(VLOOKUP(B44,Valores!$A$7:$J$537,4,0))</f>
        <v>#N/A</v>
      </c>
      <c r="K44" s="130" t="e">
        <f>UPPER(VLOOKUP(B44,Valores!$A$7:$J$537,7,0))</f>
        <v>#N/A</v>
      </c>
      <c r="L44" s="131"/>
      <c r="M44" s="99" t="e">
        <f>UPPER(VLOOKUP(B44,Valores!$A$7:$J$537,5,0))</f>
        <v>#N/A</v>
      </c>
      <c r="N44" s="99" t="e">
        <f>UPPER(VLOOKUP(B44,Valores!$A$7:$J$537,6,0))</f>
        <v>#N/A</v>
      </c>
      <c r="O44" s="99" t="e">
        <f t="shared" si="6"/>
        <v>#N/A</v>
      </c>
      <c r="P44" s="99" t="e">
        <f t="shared" si="7"/>
        <v>#N/A</v>
      </c>
      <c r="Q44" s="99" t="e">
        <f t="shared" si="8"/>
        <v>#N/A</v>
      </c>
    </row>
    <row r="45" spans="2:17" ht="27" customHeight="1" x14ac:dyDescent="0.3">
      <c r="B45" s="97"/>
      <c r="C45" s="127" t="e">
        <f>UPPER(VLOOKUP(B45,Valores!$A$7:$J$537,2,0))</f>
        <v>#N/A</v>
      </c>
      <c r="D45" s="128"/>
      <c r="E45" s="128"/>
      <c r="F45" s="128"/>
      <c r="G45" s="128"/>
      <c r="H45" s="129"/>
      <c r="I45" s="124"/>
      <c r="J45" s="98" t="e">
        <f>UPPER(VLOOKUP(B45,Valores!$A$7:$J$537,4,0))</f>
        <v>#N/A</v>
      </c>
      <c r="K45" s="130" t="e">
        <f>UPPER(VLOOKUP(B45,Valores!$A$7:$J$537,7,0))</f>
        <v>#N/A</v>
      </c>
      <c r="L45" s="131"/>
      <c r="M45" s="99" t="e">
        <f>UPPER(VLOOKUP(B45,Valores!$A$7:$J$537,5,0))</f>
        <v>#N/A</v>
      </c>
      <c r="N45" s="99" t="e">
        <f>UPPER(VLOOKUP(B45,Valores!$A$7:$J$537,6,0))</f>
        <v>#N/A</v>
      </c>
      <c r="O45" s="99" t="e">
        <f t="shared" si="6"/>
        <v>#N/A</v>
      </c>
      <c r="P45" s="99" t="e">
        <f t="shared" si="7"/>
        <v>#N/A</v>
      </c>
      <c r="Q45" s="99" t="e">
        <f t="shared" si="8"/>
        <v>#N/A</v>
      </c>
    </row>
    <row r="46" spans="2:17" ht="27" customHeight="1" x14ac:dyDescent="0.3">
      <c r="B46" s="97"/>
      <c r="C46" s="127" t="e">
        <f>UPPER(VLOOKUP(B46,Valores!$A$7:$J$537,2,0))</f>
        <v>#N/A</v>
      </c>
      <c r="D46" s="128"/>
      <c r="E46" s="128"/>
      <c r="F46" s="128"/>
      <c r="G46" s="128"/>
      <c r="H46" s="129"/>
      <c r="I46" s="124"/>
      <c r="J46" s="98" t="e">
        <f>UPPER(VLOOKUP(B46,Valores!$A$7:$J$537,4,0))</f>
        <v>#N/A</v>
      </c>
      <c r="K46" s="130" t="e">
        <f>UPPER(VLOOKUP(B46,Valores!$A$7:$J$537,7,0))</f>
        <v>#N/A</v>
      </c>
      <c r="L46" s="131"/>
      <c r="M46" s="99" t="e">
        <f>UPPER(VLOOKUP(B46,Valores!$A$7:$J$537,5,0))</f>
        <v>#N/A</v>
      </c>
      <c r="N46" s="99" t="e">
        <f>UPPER(VLOOKUP(B46,Valores!$A$7:$J$537,6,0))</f>
        <v>#N/A</v>
      </c>
      <c r="O46" s="99" t="e">
        <f t="shared" ref="O46:O50" si="9">M46*I46</f>
        <v>#N/A</v>
      </c>
      <c r="P46" s="99" t="e">
        <f t="shared" ref="P46:P50" si="10">N46*I46</f>
        <v>#N/A</v>
      </c>
      <c r="Q46" s="99" t="e">
        <f t="shared" ref="Q46:Q50" si="11">K46*I46</f>
        <v>#N/A</v>
      </c>
    </row>
    <row r="47" spans="2:17" ht="27" customHeight="1" x14ac:dyDescent="0.3">
      <c r="B47" s="97"/>
      <c r="C47" s="127" t="e">
        <f>UPPER(VLOOKUP(B47,Valores!$A$7:$J$537,2,0))</f>
        <v>#N/A</v>
      </c>
      <c r="D47" s="128"/>
      <c r="E47" s="128"/>
      <c r="F47" s="128"/>
      <c r="G47" s="128"/>
      <c r="H47" s="129"/>
      <c r="I47" s="124"/>
      <c r="J47" s="98" t="e">
        <f>UPPER(VLOOKUP(B47,Valores!$A$7:$J$537,4,0))</f>
        <v>#N/A</v>
      </c>
      <c r="K47" s="130" t="e">
        <f>UPPER(VLOOKUP(B47,Valores!$A$7:$J$537,7,0))</f>
        <v>#N/A</v>
      </c>
      <c r="L47" s="131"/>
      <c r="M47" s="99" t="e">
        <f>UPPER(VLOOKUP(B47,Valores!$A$7:$J$537,5,0))</f>
        <v>#N/A</v>
      </c>
      <c r="N47" s="99" t="e">
        <f>UPPER(VLOOKUP(B47,Valores!$A$7:$J$537,6,0))</f>
        <v>#N/A</v>
      </c>
      <c r="O47" s="99" t="e">
        <f t="shared" si="9"/>
        <v>#N/A</v>
      </c>
      <c r="P47" s="99" t="e">
        <f t="shared" si="10"/>
        <v>#N/A</v>
      </c>
      <c r="Q47" s="99" t="e">
        <f t="shared" si="11"/>
        <v>#N/A</v>
      </c>
    </row>
    <row r="48" spans="2:17" ht="26.25" customHeight="1" x14ac:dyDescent="0.3">
      <c r="B48" s="97"/>
      <c r="C48" s="127" t="e">
        <f>UPPER(VLOOKUP(B48,Valores!$A$7:$J$537,2,0))</f>
        <v>#N/A</v>
      </c>
      <c r="D48" s="128"/>
      <c r="E48" s="128"/>
      <c r="F48" s="128"/>
      <c r="G48" s="128"/>
      <c r="H48" s="129"/>
      <c r="I48" s="124"/>
      <c r="J48" s="98" t="e">
        <f>UPPER(VLOOKUP(B48,Valores!$A$7:$J$537,4,0))</f>
        <v>#N/A</v>
      </c>
      <c r="K48" s="130" t="e">
        <f>UPPER(VLOOKUP(B48,Valores!$A$7:$J$537,7,0))</f>
        <v>#N/A</v>
      </c>
      <c r="L48" s="131"/>
      <c r="M48" s="99" t="e">
        <f>UPPER(VLOOKUP(B48,Valores!$A$7:$J$537,5,0))</f>
        <v>#N/A</v>
      </c>
      <c r="N48" s="99" t="e">
        <f>UPPER(VLOOKUP(B48,Valores!$A$7:$J$537,6,0))</f>
        <v>#N/A</v>
      </c>
      <c r="O48" s="99" t="e">
        <f t="shared" si="9"/>
        <v>#N/A</v>
      </c>
      <c r="P48" s="99" t="e">
        <f t="shared" si="10"/>
        <v>#N/A</v>
      </c>
      <c r="Q48" s="99" t="e">
        <f t="shared" si="11"/>
        <v>#N/A</v>
      </c>
    </row>
    <row r="49" spans="2:17" ht="27" customHeight="1" x14ac:dyDescent="0.3">
      <c r="B49" s="97"/>
      <c r="C49" s="127" t="e">
        <f>UPPER(VLOOKUP(B49,Valores!$A$7:$J$537,2,0))</f>
        <v>#N/A</v>
      </c>
      <c r="D49" s="128"/>
      <c r="E49" s="128"/>
      <c r="F49" s="128"/>
      <c r="G49" s="128"/>
      <c r="H49" s="129"/>
      <c r="I49" s="124"/>
      <c r="J49" s="98" t="e">
        <f>UPPER(VLOOKUP(B49,Valores!$A$7:$J$537,4,0))</f>
        <v>#N/A</v>
      </c>
      <c r="K49" s="130" t="e">
        <f>UPPER(VLOOKUP(B49,Valores!$A$7:$J$537,7,0))</f>
        <v>#N/A</v>
      </c>
      <c r="L49" s="131"/>
      <c r="M49" s="99" t="e">
        <f>UPPER(VLOOKUP(B49,Valores!$A$7:$J$537,5,0))</f>
        <v>#N/A</v>
      </c>
      <c r="N49" s="99" t="e">
        <f>UPPER(VLOOKUP(B49,Valores!$A$7:$J$537,6,0))</f>
        <v>#N/A</v>
      </c>
      <c r="O49" s="99" t="e">
        <f t="shared" si="9"/>
        <v>#N/A</v>
      </c>
      <c r="P49" s="99" t="e">
        <f t="shared" si="10"/>
        <v>#N/A</v>
      </c>
      <c r="Q49" s="99" t="e">
        <f t="shared" si="11"/>
        <v>#N/A</v>
      </c>
    </row>
    <row r="50" spans="2:17" ht="27" customHeight="1" x14ac:dyDescent="0.3">
      <c r="B50" s="97"/>
      <c r="C50" s="127" t="e">
        <f>UPPER(VLOOKUP(B50,Valores!$A$7:$J$537,2,0))</f>
        <v>#N/A</v>
      </c>
      <c r="D50" s="128"/>
      <c r="E50" s="128"/>
      <c r="F50" s="128"/>
      <c r="G50" s="128"/>
      <c r="H50" s="129"/>
      <c r="I50" s="124"/>
      <c r="J50" s="98" t="e">
        <f>UPPER(VLOOKUP(B50,Valores!$A$7:$J$537,4,0))</f>
        <v>#N/A</v>
      </c>
      <c r="K50" s="130" t="e">
        <f>UPPER(VLOOKUP(B50,Valores!$A$7:$J$537,7,0))</f>
        <v>#N/A</v>
      </c>
      <c r="L50" s="131"/>
      <c r="M50" s="99" t="e">
        <f>UPPER(VLOOKUP(B50,Valores!$A$7:$J$537,5,0))</f>
        <v>#N/A</v>
      </c>
      <c r="N50" s="99" t="e">
        <f>UPPER(VLOOKUP(B50,Valores!$A$7:$J$537,6,0))</f>
        <v>#N/A</v>
      </c>
      <c r="O50" s="99" t="e">
        <f t="shared" si="9"/>
        <v>#N/A</v>
      </c>
      <c r="P50" s="99" t="e">
        <f t="shared" si="10"/>
        <v>#N/A</v>
      </c>
      <c r="Q50" s="99" t="e">
        <f t="shared" si="11"/>
        <v>#N/A</v>
      </c>
    </row>
    <row r="51" spans="2:17" ht="15.6" x14ac:dyDescent="0.3">
      <c r="B51" s="160" t="s">
        <v>1103</v>
      </c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</row>
    <row r="52" spans="2:17" ht="23.25" customHeight="1" x14ac:dyDescent="0.3">
      <c r="B52" s="162" t="s">
        <v>1104</v>
      </c>
      <c r="C52" s="163"/>
      <c r="D52" s="163"/>
      <c r="E52" s="163"/>
      <c r="F52" s="164"/>
      <c r="G52" s="165" t="s">
        <v>1105</v>
      </c>
      <c r="H52" s="166"/>
      <c r="I52" s="166"/>
      <c r="J52" s="165" t="s">
        <v>1106</v>
      </c>
      <c r="K52" s="166"/>
      <c r="L52" s="166"/>
      <c r="M52" s="166"/>
      <c r="N52" s="166"/>
      <c r="O52" s="166"/>
      <c r="P52" s="166"/>
      <c r="Q52" s="167"/>
    </row>
    <row r="53" spans="2:17" ht="21" x14ac:dyDescent="0.3">
      <c r="B53" s="154">
        <f>F68</f>
        <v>46078</v>
      </c>
      <c r="C53" s="155"/>
      <c r="D53" s="155"/>
      <c r="E53" s="155"/>
      <c r="F53" s="156"/>
      <c r="G53" s="101" t="e">
        <f>SUM(O18:O50)</f>
        <v>#N/A</v>
      </c>
      <c r="H53" s="102" t="s">
        <v>1107</v>
      </c>
      <c r="I53" s="125" t="e">
        <f>SUM(P18:P50)</f>
        <v>#N/A</v>
      </c>
      <c r="J53" s="157" t="e">
        <f>I53+G53</f>
        <v>#N/A</v>
      </c>
      <c r="K53" s="158"/>
      <c r="L53" s="158"/>
      <c r="M53" s="158"/>
      <c r="N53" s="158"/>
      <c r="O53" s="158"/>
      <c r="P53" s="158"/>
      <c r="Q53" s="159"/>
    </row>
    <row r="54" spans="2:17" x14ac:dyDescent="0.3">
      <c r="B54" s="141" t="s">
        <v>1108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</row>
    <row r="55" spans="2:17" x14ac:dyDescent="0.3"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</row>
    <row r="56" spans="2:17" x14ac:dyDescent="0.3">
      <c r="B56" s="142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2:17" ht="45.75" customHeight="1" x14ac:dyDescent="0.3"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2:17" x14ac:dyDescent="0.3">
      <c r="B58" s="103"/>
      <c r="C58" s="144" t="s">
        <v>1109</v>
      </c>
      <c r="D58" s="144"/>
      <c r="E58" s="144"/>
      <c r="F58" s="144"/>
      <c r="G58" s="144"/>
      <c r="I58" s="144" t="s">
        <v>1110</v>
      </c>
      <c r="J58" s="144"/>
      <c r="K58" s="144"/>
      <c r="L58" s="144"/>
      <c r="M58" s="144"/>
      <c r="N58" s="144"/>
      <c r="O58" s="144"/>
      <c r="P58" s="144"/>
      <c r="Q58" s="144"/>
    </row>
    <row r="59" spans="2:17" x14ac:dyDescent="0.3">
      <c r="B59" s="103"/>
      <c r="C59" s="140"/>
      <c r="D59" s="140"/>
      <c r="E59" s="140"/>
      <c r="F59" s="140"/>
      <c r="G59" s="140"/>
      <c r="I59" s="140"/>
      <c r="J59" s="140"/>
      <c r="K59" s="140"/>
      <c r="L59" s="140"/>
      <c r="M59" s="140"/>
      <c r="N59" s="140"/>
      <c r="O59" s="140"/>
      <c r="P59" s="140"/>
      <c r="Q59" s="140"/>
    </row>
    <row r="60" spans="2:17" x14ac:dyDescent="0.3">
      <c r="B60" s="103"/>
      <c r="C60" s="140"/>
      <c r="D60" s="140"/>
      <c r="E60" s="140"/>
      <c r="F60" s="140"/>
      <c r="G60" s="140"/>
      <c r="I60" s="140"/>
      <c r="J60" s="140"/>
      <c r="K60" s="140"/>
      <c r="L60" s="140"/>
      <c r="M60" s="140"/>
      <c r="N60" s="140"/>
      <c r="O60" s="140"/>
      <c r="P60" s="140"/>
      <c r="Q60" s="140"/>
    </row>
    <row r="61" spans="2:17" x14ac:dyDescent="0.3">
      <c r="B61" s="103"/>
      <c r="C61" s="140"/>
      <c r="D61" s="140"/>
      <c r="E61" s="140"/>
      <c r="F61" s="140"/>
      <c r="G61" s="140"/>
      <c r="I61" s="140"/>
      <c r="J61" s="140"/>
      <c r="K61" s="140"/>
      <c r="L61" s="140"/>
      <c r="M61" s="140"/>
      <c r="N61" s="140"/>
      <c r="O61" s="140"/>
      <c r="P61" s="140"/>
      <c r="Q61" s="140"/>
    </row>
    <row r="62" spans="2:17" x14ac:dyDescent="0.3">
      <c r="B62" s="103"/>
      <c r="C62" s="145" t="s">
        <v>1111</v>
      </c>
      <c r="D62" s="145"/>
      <c r="E62" s="145"/>
      <c r="F62" s="145"/>
      <c r="G62" s="145"/>
      <c r="I62" s="145" t="s">
        <v>1112</v>
      </c>
      <c r="J62" s="145"/>
      <c r="K62" s="145"/>
      <c r="L62" s="145"/>
      <c r="M62" s="145"/>
      <c r="N62" s="145"/>
      <c r="O62" s="145"/>
      <c r="P62" s="145"/>
      <c r="Q62" s="145"/>
    </row>
    <row r="63" spans="2:17" x14ac:dyDescent="0.3">
      <c r="B63" s="103"/>
      <c r="J63" s="103"/>
      <c r="M63" s="103"/>
      <c r="N63" s="103"/>
      <c r="O63" s="103"/>
      <c r="P63" s="103"/>
      <c r="Q63" s="103"/>
    </row>
    <row r="64" spans="2:17" x14ac:dyDescent="0.3">
      <c r="B64" s="146" t="s">
        <v>1113</v>
      </c>
      <c r="C64" s="141"/>
      <c r="D64" s="141"/>
      <c r="E64" s="141"/>
      <c r="F64" s="141"/>
      <c r="G64" s="141"/>
      <c r="H64" s="141"/>
      <c r="I64" s="147"/>
      <c r="J64" s="148" t="s">
        <v>1114</v>
      </c>
      <c r="K64" s="149"/>
      <c r="L64" s="149"/>
      <c r="M64" s="149"/>
      <c r="N64" s="149"/>
      <c r="O64" s="149"/>
      <c r="P64" s="149"/>
      <c r="Q64" s="149"/>
    </row>
    <row r="65" spans="2:17" ht="30.75" customHeight="1" x14ac:dyDescent="0.3">
      <c r="B65" s="150"/>
      <c r="C65" s="151"/>
      <c r="D65" s="151"/>
      <c r="E65" s="151"/>
      <c r="F65" s="151"/>
      <c r="G65" s="151"/>
      <c r="H65" s="151"/>
      <c r="I65" s="151"/>
      <c r="J65" s="142" t="s">
        <v>1115</v>
      </c>
      <c r="K65" s="143"/>
      <c r="L65" s="143"/>
      <c r="M65" s="143"/>
      <c r="N65" s="143"/>
      <c r="O65" s="143"/>
      <c r="P65" s="143"/>
      <c r="Q65" s="143"/>
    </row>
    <row r="66" spans="2:17" x14ac:dyDescent="0.3">
      <c r="B66" s="146" t="s">
        <v>1116</v>
      </c>
      <c r="C66" s="141"/>
      <c r="D66" s="141"/>
      <c r="E66" s="141"/>
      <c r="F66" s="141"/>
      <c r="G66" s="141"/>
      <c r="H66" s="141"/>
      <c r="I66" s="147"/>
      <c r="J66" s="142"/>
      <c r="K66" s="143"/>
      <c r="L66" s="143"/>
      <c r="M66" s="143"/>
      <c r="N66" s="143"/>
      <c r="O66" s="143"/>
      <c r="P66" s="143"/>
      <c r="Q66" s="143"/>
    </row>
    <row r="67" spans="2:17" ht="30.75" customHeight="1" x14ac:dyDescent="0.3">
      <c r="B67" s="152"/>
      <c r="C67" s="153"/>
      <c r="D67" s="153"/>
      <c r="E67" s="153"/>
      <c r="F67" s="153"/>
      <c r="G67" s="153"/>
      <c r="H67" s="153"/>
      <c r="I67" s="153"/>
      <c r="J67" s="142"/>
      <c r="K67" s="143"/>
      <c r="L67" s="143"/>
      <c r="M67" s="143"/>
      <c r="N67" s="143"/>
      <c r="O67" s="143"/>
      <c r="P67" s="143"/>
      <c r="Q67" s="143"/>
    </row>
    <row r="68" spans="2:17" ht="19.5" customHeight="1" x14ac:dyDescent="0.3">
      <c r="B68" s="100" t="s">
        <v>1117</v>
      </c>
      <c r="C68" s="132">
        <v>46078</v>
      </c>
      <c r="D68" s="133"/>
      <c r="E68" s="104" t="s">
        <v>1117</v>
      </c>
      <c r="F68" s="136">
        <v>46078</v>
      </c>
      <c r="G68" s="133"/>
      <c r="H68" s="133"/>
      <c r="I68" s="133"/>
      <c r="J68" s="138" t="s">
        <v>1118</v>
      </c>
      <c r="K68" s="139"/>
      <c r="L68" s="139"/>
      <c r="M68" s="139"/>
      <c r="N68" s="139"/>
      <c r="O68" s="139"/>
      <c r="P68" s="139"/>
      <c r="Q68" s="139"/>
    </row>
    <row r="69" spans="2:17" ht="14.25" customHeight="1" x14ac:dyDescent="0.3">
      <c r="B69" s="105" t="s">
        <v>1119</v>
      </c>
      <c r="C69" s="134"/>
      <c r="D69" s="135"/>
      <c r="E69" s="104" t="s">
        <v>1120</v>
      </c>
      <c r="F69" s="137"/>
      <c r="G69" s="135"/>
      <c r="H69" s="135"/>
      <c r="I69" s="135"/>
      <c r="J69" s="138" t="s">
        <v>1121</v>
      </c>
      <c r="K69" s="139"/>
      <c r="L69" s="139"/>
      <c r="M69" s="139"/>
      <c r="N69" s="139"/>
      <c r="O69" s="139"/>
      <c r="P69" s="139"/>
      <c r="Q69" s="139"/>
    </row>
    <row r="70" spans="2:17" x14ac:dyDescent="0.3">
      <c r="B70" s="103"/>
      <c r="J70" s="103"/>
      <c r="M70" s="103"/>
      <c r="N70" s="103"/>
      <c r="O70" s="103"/>
      <c r="P70" s="103"/>
      <c r="Q70" s="103"/>
    </row>
    <row r="71" spans="2:17" x14ac:dyDescent="0.3">
      <c r="B71" s="140" t="s">
        <v>1122</v>
      </c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</row>
  </sheetData>
  <mergeCells count="127">
    <mergeCell ref="B1:Q1"/>
    <mergeCell ref="B2:Q2"/>
    <mergeCell ref="B3:C3"/>
    <mergeCell ref="D3:F3"/>
    <mergeCell ref="G3:I3"/>
    <mergeCell ref="J3:Q3"/>
    <mergeCell ref="G11:Q11"/>
    <mergeCell ref="B8:F8"/>
    <mergeCell ref="G8:Q8"/>
    <mergeCell ref="B7:C7"/>
    <mergeCell ref="B4:C4"/>
    <mergeCell ref="D4:F4"/>
    <mergeCell ref="G4:I4"/>
    <mergeCell ref="J4:Q4"/>
    <mergeCell ref="B5:C5"/>
    <mergeCell ref="D5:F6"/>
    <mergeCell ref="G5:I5"/>
    <mergeCell ref="J5:Q5"/>
    <mergeCell ref="B6:C6"/>
    <mergeCell ref="G6:I6"/>
    <mergeCell ref="J6:Q6"/>
    <mergeCell ref="B15:Q15"/>
    <mergeCell ref="C9:F9"/>
    <mergeCell ref="G10:Q10"/>
    <mergeCell ref="B11:F11"/>
    <mergeCell ref="D7:F7"/>
    <mergeCell ref="G7:I7"/>
    <mergeCell ref="J7:Q7"/>
    <mergeCell ref="B14:J14"/>
    <mergeCell ref="K14:Q14"/>
    <mergeCell ref="G9:Q9"/>
    <mergeCell ref="B10:F10"/>
    <mergeCell ref="B12:Q12"/>
    <mergeCell ref="B13:J13"/>
    <mergeCell ref="K13:Q13"/>
    <mergeCell ref="C23:H23"/>
    <mergeCell ref="K23:L23"/>
    <mergeCell ref="K22:L22"/>
    <mergeCell ref="C22:H22"/>
    <mergeCell ref="C21:H21"/>
    <mergeCell ref="K21:L21"/>
    <mergeCell ref="B16:Q16"/>
    <mergeCell ref="C17:H17"/>
    <mergeCell ref="K17:L17"/>
    <mergeCell ref="C18:H18"/>
    <mergeCell ref="K18:L18"/>
    <mergeCell ref="C19:H19"/>
    <mergeCell ref="K19:L19"/>
    <mergeCell ref="C20:H20"/>
    <mergeCell ref="K20:L20"/>
    <mergeCell ref="C24:H24"/>
    <mergeCell ref="K24:L24"/>
    <mergeCell ref="C29:H29"/>
    <mergeCell ref="K29:L29"/>
    <mergeCell ref="G52:I52"/>
    <mergeCell ref="J52:Q52"/>
    <mergeCell ref="C40:H40"/>
    <mergeCell ref="K40:L40"/>
    <mergeCell ref="C41:H41"/>
    <mergeCell ref="K41:L41"/>
    <mergeCell ref="C42:H42"/>
    <mergeCell ref="K42:L42"/>
    <mergeCell ref="C43:H43"/>
    <mergeCell ref="K43:L43"/>
    <mergeCell ref="C44:H44"/>
    <mergeCell ref="K44:L44"/>
    <mergeCell ref="C39:H39"/>
    <mergeCell ref="K39:L39"/>
    <mergeCell ref="C35:H35"/>
    <mergeCell ref="K35:L35"/>
    <mergeCell ref="C36:H36"/>
    <mergeCell ref="K36:L36"/>
    <mergeCell ref="C37:H37"/>
    <mergeCell ref="K37:L37"/>
    <mergeCell ref="B53:F53"/>
    <mergeCell ref="J53:Q53"/>
    <mergeCell ref="C30:H30"/>
    <mergeCell ref="K30:L30"/>
    <mergeCell ref="C31:H31"/>
    <mergeCell ref="K31:L31"/>
    <mergeCell ref="C32:H32"/>
    <mergeCell ref="K32:L32"/>
    <mergeCell ref="C33:H33"/>
    <mergeCell ref="K33:L33"/>
    <mergeCell ref="C34:H34"/>
    <mergeCell ref="K34:L34"/>
    <mergeCell ref="B51:Q51"/>
    <mergeCell ref="B52:F52"/>
    <mergeCell ref="C38:H38"/>
    <mergeCell ref="K38:L38"/>
    <mergeCell ref="C49:H49"/>
    <mergeCell ref="K49:L49"/>
    <mergeCell ref="C50:H50"/>
    <mergeCell ref="K50:L50"/>
    <mergeCell ref="C45:H45"/>
    <mergeCell ref="K45:L45"/>
    <mergeCell ref="C46:H46"/>
    <mergeCell ref="K46:L46"/>
    <mergeCell ref="C68:D69"/>
    <mergeCell ref="F68:I69"/>
    <mergeCell ref="J68:Q68"/>
    <mergeCell ref="J69:Q69"/>
    <mergeCell ref="B71:Q71"/>
    <mergeCell ref="B54:Q54"/>
    <mergeCell ref="B55:Q57"/>
    <mergeCell ref="C58:G61"/>
    <mergeCell ref="I58:Q61"/>
    <mergeCell ref="C62:G62"/>
    <mergeCell ref="I62:Q62"/>
    <mergeCell ref="B64:I64"/>
    <mergeCell ref="J64:Q64"/>
    <mergeCell ref="B65:I65"/>
    <mergeCell ref="J65:Q67"/>
    <mergeCell ref="B66:I66"/>
    <mergeCell ref="B67:I67"/>
    <mergeCell ref="C48:H48"/>
    <mergeCell ref="K48:L48"/>
    <mergeCell ref="C47:H47"/>
    <mergeCell ref="K47:L47"/>
    <mergeCell ref="C28:H28"/>
    <mergeCell ref="K28:L28"/>
    <mergeCell ref="C25:H25"/>
    <mergeCell ref="K25:L25"/>
    <mergeCell ref="C26:H26"/>
    <mergeCell ref="K26:L26"/>
    <mergeCell ref="C27:H27"/>
    <mergeCell ref="K27:L27"/>
  </mergeCells>
  <conditionalFormatting sqref="B18:B50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D5BB-2A3C-4F41-8B54-74C20BA298CB}">
  <dimension ref="A1:P49"/>
  <sheetViews>
    <sheetView view="pageBreakPreview" topLeftCell="A8" zoomScale="60" zoomScaleNormal="70" workbookViewId="0">
      <selection activeCell="V39" sqref="V39"/>
    </sheetView>
  </sheetViews>
  <sheetFormatPr defaultColWidth="8.88671875" defaultRowHeight="14.4" x14ac:dyDescent="0.3"/>
  <cols>
    <col min="2" max="4" width="9.44140625" customWidth="1"/>
    <col min="5" max="5" width="5.44140625" customWidth="1"/>
    <col min="6" max="6" width="21.109375" customWidth="1"/>
    <col min="7" max="7" width="7.44140625" customWidth="1"/>
    <col min="8" max="8" width="20.44140625" customWidth="1"/>
    <col min="9" max="11" width="12.109375" customWidth="1"/>
    <col min="12" max="15" width="0" hidden="1" customWidth="1"/>
    <col min="16" max="16" width="11.109375" customWidth="1"/>
  </cols>
  <sheetData>
    <row r="1" spans="1:16" ht="15.6" x14ac:dyDescent="0.3">
      <c r="A1" s="192" t="s">
        <v>1070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</row>
    <row r="2" spans="1:16" ht="15.6" x14ac:dyDescent="0.3">
      <c r="A2" s="193" t="s">
        <v>1123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</row>
    <row r="3" spans="1:16" x14ac:dyDescent="0.3">
      <c r="A3" s="149" t="s">
        <v>1072</v>
      </c>
      <c r="B3" s="149"/>
      <c r="C3" s="149" t="s">
        <v>1073</v>
      </c>
      <c r="D3" s="149"/>
      <c r="E3" s="149"/>
      <c r="F3" s="149" t="s">
        <v>1074</v>
      </c>
      <c r="G3" s="149"/>
      <c r="H3" s="149"/>
      <c r="I3" s="149" t="s">
        <v>1075</v>
      </c>
      <c r="J3" s="149"/>
      <c r="K3" s="149"/>
      <c r="L3" s="149"/>
      <c r="M3" s="149"/>
      <c r="N3" s="149"/>
      <c r="O3" s="149"/>
      <c r="P3" s="149"/>
    </row>
    <row r="4" spans="1:16" ht="18" x14ac:dyDescent="0.3">
      <c r="A4" s="259">
        <f>RAT!B4</f>
        <v>250195016</v>
      </c>
      <c r="B4" s="259"/>
      <c r="C4" s="251">
        <f>RAT!D4</f>
        <v>46361</v>
      </c>
      <c r="D4" s="249"/>
      <c r="E4" s="249"/>
      <c r="F4" s="260" t="s">
        <v>1373</v>
      </c>
      <c r="G4" s="260"/>
      <c r="H4" s="260"/>
      <c r="I4" s="249" t="s">
        <v>1077</v>
      </c>
      <c r="J4" s="249"/>
      <c r="K4" s="249"/>
      <c r="L4" s="249"/>
      <c r="M4" s="249"/>
      <c r="N4" s="249"/>
      <c r="O4" s="249"/>
      <c r="P4" s="249"/>
    </row>
    <row r="5" spans="1:16" x14ac:dyDescent="0.3">
      <c r="A5" s="141" t="s">
        <v>1078</v>
      </c>
      <c r="B5" s="141"/>
      <c r="C5" s="149" t="s">
        <v>1079</v>
      </c>
      <c r="D5" s="149"/>
      <c r="E5" s="149"/>
      <c r="F5" s="149" t="s">
        <v>1080</v>
      </c>
      <c r="G5" s="149"/>
      <c r="H5" s="149"/>
      <c r="I5" s="141" t="s">
        <v>1081</v>
      </c>
      <c r="J5" s="141"/>
      <c r="K5" s="141"/>
      <c r="L5" s="141"/>
      <c r="M5" s="141"/>
      <c r="N5" s="141"/>
      <c r="O5" s="141"/>
      <c r="P5" s="141"/>
    </row>
    <row r="6" spans="1:16" x14ac:dyDescent="0.3">
      <c r="A6" s="141" t="s">
        <v>1082</v>
      </c>
      <c r="B6" s="141"/>
      <c r="C6" s="149"/>
      <c r="D6" s="149"/>
      <c r="E6" s="149"/>
      <c r="F6" s="149" t="s">
        <v>1083</v>
      </c>
      <c r="G6" s="149"/>
      <c r="H6" s="149"/>
      <c r="I6" s="141" t="s">
        <v>1084</v>
      </c>
      <c r="J6" s="261"/>
      <c r="K6" s="261"/>
      <c r="L6" s="261"/>
      <c r="M6" s="261"/>
      <c r="N6" s="261"/>
      <c r="O6" s="261"/>
      <c r="P6" s="261"/>
    </row>
    <row r="7" spans="1:16" ht="22.5" customHeight="1" x14ac:dyDescent="0.3">
      <c r="A7" s="249" t="str">
        <f>RAT!B7</f>
        <v>Não</v>
      </c>
      <c r="B7" s="249"/>
      <c r="C7" s="251">
        <f>RAT!D7</f>
        <v>46080</v>
      </c>
      <c r="D7" s="251"/>
      <c r="E7" s="251"/>
      <c r="F7" s="249" t="str">
        <f>RAT!G7</f>
        <v>Preventiva</v>
      </c>
      <c r="G7" s="249"/>
      <c r="H7" s="249"/>
      <c r="I7" s="249" t="str">
        <f>RAT!J7</f>
        <v>Normal</v>
      </c>
      <c r="J7" s="249"/>
      <c r="K7" s="249"/>
      <c r="L7" s="249"/>
      <c r="M7" s="249"/>
      <c r="N7" s="249"/>
      <c r="O7" s="249"/>
      <c r="P7" s="249"/>
    </row>
    <row r="8" spans="1:16" x14ac:dyDescent="0.3">
      <c r="A8" s="149" t="s">
        <v>1085</v>
      </c>
      <c r="B8" s="149"/>
      <c r="C8" s="149"/>
      <c r="D8" s="149"/>
      <c r="E8" s="149"/>
      <c r="F8" s="149" t="s">
        <v>1086</v>
      </c>
      <c r="G8" s="149"/>
      <c r="H8" s="149"/>
      <c r="I8" s="149"/>
      <c r="J8" s="149"/>
      <c r="K8" s="149"/>
      <c r="L8" s="149"/>
      <c r="M8" s="149"/>
      <c r="N8" s="149"/>
      <c r="O8" s="149"/>
      <c r="P8" s="149"/>
    </row>
    <row r="9" spans="1:16" ht="24.75" customHeight="1" x14ac:dyDescent="0.3">
      <c r="A9" s="106">
        <f>RAT!B9</f>
        <v>7027</v>
      </c>
      <c r="B9" s="256" t="str">
        <f>RAT!C9</f>
        <v>VILA TATETUBA</v>
      </c>
      <c r="C9" s="256"/>
      <c r="D9" s="256"/>
      <c r="E9" s="256"/>
      <c r="F9" s="256" t="str">
        <f>RAT!G9</f>
        <v>AV.PRES.JUSCELINO KUBITSCHEK 8260</v>
      </c>
      <c r="G9" s="256"/>
      <c r="H9" s="256"/>
      <c r="I9" s="256"/>
      <c r="J9" s="256"/>
      <c r="K9" s="256"/>
      <c r="L9" s="256"/>
      <c r="M9" s="256"/>
      <c r="N9" s="256"/>
      <c r="O9" s="256"/>
      <c r="P9" s="256"/>
    </row>
    <row r="10" spans="1:16" x14ac:dyDescent="0.3">
      <c r="A10" s="149" t="s">
        <v>1087</v>
      </c>
      <c r="B10" s="149"/>
      <c r="C10" s="149"/>
      <c r="D10" s="149"/>
      <c r="E10" s="149"/>
      <c r="F10" s="149" t="s">
        <v>1088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</row>
    <row r="11" spans="1:16" s="107" customFormat="1" ht="29.25" customHeight="1" x14ac:dyDescent="0.3">
      <c r="A11" s="256" t="str">
        <f>RAT!B11</f>
        <v>Responsável</v>
      </c>
      <c r="B11" s="256"/>
      <c r="C11" s="256"/>
      <c r="D11" s="256"/>
      <c r="E11" s="256"/>
      <c r="F11" s="256" t="str">
        <f>RAT!G11</f>
        <v>F6798701 - SISTEMA</v>
      </c>
      <c r="G11" s="256"/>
      <c r="H11" s="256"/>
      <c r="I11" s="256"/>
      <c r="J11" s="256"/>
      <c r="K11" s="256"/>
      <c r="L11" s="256"/>
      <c r="M11" s="256"/>
      <c r="N11" s="256"/>
      <c r="O11" s="256"/>
      <c r="P11" s="256"/>
    </row>
    <row r="12" spans="1:16" ht="15.6" x14ac:dyDescent="0.3">
      <c r="A12" s="257" t="s">
        <v>1124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</row>
    <row r="13" spans="1:16" s="108" customFormat="1" ht="18.75" customHeight="1" x14ac:dyDescent="0.3">
      <c r="A13" s="149" t="s">
        <v>1125</v>
      </c>
      <c r="B13" s="149"/>
      <c r="C13" s="149" t="s">
        <v>1126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1:16" ht="42" customHeight="1" x14ac:dyDescent="0.3">
      <c r="A14" s="258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</row>
    <row r="15" spans="1:16" s="108" customFormat="1" ht="18" customHeight="1" x14ac:dyDescent="0.3">
      <c r="A15" s="163" t="s">
        <v>1127</v>
      </c>
      <c r="B15" s="163"/>
      <c r="C15" s="163"/>
      <c r="D15" s="163"/>
      <c r="E15" s="163"/>
      <c r="F15" s="163"/>
      <c r="G15" s="163"/>
      <c r="H15" s="163"/>
      <c r="I15" s="163" t="s">
        <v>1128</v>
      </c>
      <c r="J15" s="163"/>
      <c r="K15" s="163" t="s">
        <v>1129</v>
      </c>
      <c r="L15" s="163"/>
      <c r="M15" s="163"/>
      <c r="N15" s="163"/>
      <c r="O15" s="163"/>
      <c r="P15" s="163"/>
    </row>
    <row r="16" spans="1:16" s="108" customFormat="1" ht="21" customHeight="1" x14ac:dyDescent="0.3">
      <c r="A16" s="149" t="s">
        <v>1130</v>
      </c>
      <c r="B16" s="149"/>
      <c r="C16" s="149"/>
      <c r="D16" s="149"/>
      <c r="E16" s="149"/>
      <c r="F16" s="149"/>
      <c r="G16" s="149"/>
      <c r="H16" s="149"/>
      <c r="I16" s="249"/>
      <c r="J16" s="249"/>
      <c r="K16" s="249"/>
      <c r="L16" s="249"/>
      <c r="M16" s="249"/>
      <c r="N16" s="249"/>
      <c r="O16" s="249"/>
      <c r="P16" s="249"/>
    </row>
    <row r="17" spans="1:16" s="108" customFormat="1" ht="21" customHeight="1" x14ac:dyDescent="0.3">
      <c r="A17" s="149" t="s">
        <v>1131</v>
      </c>
      <c r="B17" s="149"/>
      <c r="C17" s="149"/>
      <c r="D17" s="149"/>
      <c r="E17" s="149"/>
      <c r="F17" s="149"/>
      <c r="G17" s="149"/>
      <c r="H17" s="149"/>
      <c r="I17" s="249"/>
      <c r="J17" s="249"/>
      <c r="K17" s="249"/>
      <c r="L17" s="249"/>
      <c r="M17" s="249"/>
      <c r="N17" s="249"/>
      <c r="O17" s="249"/>
      <c r="P17" s="249"/>
    </row>
    <row r="18" spans="1:16" s="108" customFormat="1" ht="21" customHeight="1" x14ac:dyDescent="0.3">
      <c r="A18" s="149" t="s">
        <v>1132</v>
      </c>
      <c r="B18" s="149"/>
      <c r="C18" s="149"/>
      <c r="D18" s="149"/>
      <c r="E18" s="149"/>
      <c r="F18" s="149"/>
      <c r="G18" s="149"/>
      <c r="H18" s="149"/>
      <c r="I18" s="249"/>
      <c r="J18" s="249"/>
      <c r="K18" s="249"/>
      <c r="L18" s="249"/>
      <c r="M18" s="249"/>
      <c r="N18" s="249"/>
      <c r="O18" s="249"/>
      <c r="P18" s="249"/>
    </row>
    <row r="19" spans="1:16" ht="15.6" x14ac:dyDescent="0.3">
      <c r="A19" s="161" t="s">
        <v>1133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</row>
    <row r="20" spans="1:16" ht="31.5" customHeight="1" x14ac:dyDescent="0.3">
      <c r="A20" s="163" t="s">
        <v>1104</v>
      </c>
      <c r="B20" s="163"/>
      <c r="C20" s="163"/>
      <c r="D20" s="163"/>
      <c r="E20" s="163"/>
      <c r="F20" s="250" t="s">
        <v>1105</v>
      </c>
      <c r="G20" s="250"/>
      <c r="H20" s="250"/>
      <c r="I20" s="250" t="s">
        <v>1106</v>
      </c>
      <c r="J20" s="250"/>
      <c r="K20" s="250"/>
      <c r="L20" s="250"/>
      <c r="M20" s="250"/>
      <c r="N20" s="250"/>
      <c r="O20" s="250"/>
      <c r="P20" s="250"/>
    </row>
    <row r="21" spans="1:16" s="108" customFormat="1" ht="21" x14ac:dyDescent="0.3">
      <c r="A21" s="251">
        <f>RAT!B53</f>
        <v>46078</v>
      </c>
      <c r="B21" s="249"/>
      <c r="C21" s="249"/>
      <c r="D21" s="249"/>
      <c r="E21" s="249"/>
      <c r="F21" s="109" t="e">
        <f>RAT!G53</f>
        <v>#N/A</v>
      </c>
      <c r="G21" s="110" t="s">
        <v>1107</v>
      </c>
      <c r="H21" s="109" t="e">
        <f>RAT!I53</f>
        <v>#N/A</v>
      </c>
      <c r="I21" s="252" t="e">
        <f>RAT!J53</f>
        <v>#N/A</v>
      </c>
      <c r="J21" s="253"/>
      <c r="K21" s="253"/>
      <c r="L21" s="253"/>
      <c r="M21" s="253"/>
      <c r="N21" s="253"/>
      <c r="O21" s="253"/>
      <c r="P21" s="253"/>
    </row>
    <row r="22" spans="1:16" x14ac:dyDescent="0.3">
      <c r="A22" s="254" t="s">
        <v>1108</v>
      </c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</row>
    <row r="23" spans="1:16" ht="15.6" x14ac:dyDescent="0.3">
      <c r="A23" s="255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</row>
    <row r="24" spans="1:16" x14ac:dyDescent="0.3">
      <c r="A24" s="247" t="s">
        <v>1134</v>
      </c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</row>
    <row r="25" spans="1:16" ht="15.75" customHeight="1" x14ac:dyDescent="0.3">
      <c r="A25" s="247" t="s">
        <v>1135</v>
      </c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</row>
    <row r="26" spans="1:16" x14ac:dyDescent="0.3">
      <c r="A26" s="247" t="s">
        <v>1136</v>
      </c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</row>
    <row r="27" spans="1:16" x14ac:dyDescent="0.3">
      <c r="A27" s="247" t="s">
        <v>1137</v>
      </c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</row>
    <row r="28" spans="1:16" x14ac:dyDescent="0.3">
      <c r="A28" s="247" t="s">
        <v>1138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</row>
    <row r="29" spans="1:16" x14ac:dyDescent="0.3">
      <c r="A29" s="247" t="s">
        <v>1139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</row>
    <row r="30" spans="1:16" x14ac:dyDescent="0.3">
      <c r="A30" s="247" t="s">
        <v>1140</v>
      </c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</row>
    <row r="31" spans="1:16" x14ac:dyDescent="0.3">
      <c r="A31" s="247" t="s">
        <v>1141</v>
      </c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</row>
    <row r="32" spans="1:16" x14ac:dyDescent="0.3">
      <c r="A32" s="247" t="s">
        <v>1142</v>
      </c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</row>
    <row r="33" spans="1:16" x14ac:dyDescent="0.3">
      <c r="A33" s="247" t="s">
        <v>1143</v>
      </c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</row>
    <row r="34" spans="1:16" x14ac:dyDescent="0.3">
      <c r="A34" s="247" t="s">
        <v>1144</v>
      </c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</row>
    <row r="35" spans="1:16" x14ac:dyDescent="0.3">
      <c r="A35" s="247" t="s">
        <v>1145</v>
      </c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</row>
    <row r="36" spans="1:16" x14ac:dyDescent="0.3">
      <c r="A36" s="248" t="s">
        <v>1146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</row>
    <row r="37" spans="1:16" x14ac:dyDescent="0.3">
      <c r="A37" s="244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6"/>
    </row>
    <row r="38" spans="1:16" ht="45.75" customHeight="1" x14ac:dyDescent="0.3">
      <c r="A38" s="241"/>
      <c r="B38" s="242" t="s">
        <v>1109</v>
      </c>
      <c r="C38" s="242"/>
      <c r="D38" s="242"/>
      <c r="E38" s="242"/>
      <c r="F38" s="242"/>
      <c r="G38" s="242"/>
      <c r="H38" s="242" t="s">
        <v>1110</v>
      </c>
      <c r="I38" s="242"/>
      <c r="J38" s="242"/>
      <c r="K38" s="242"/>
      <c r="P38" s="243"/>
    </row>
    <row r="39" spans="1:16" x14ac:dyDescent="0.3">
      <c r="A39" s="241"/>
      <c r="B39" s="235" t="s">
        <v>1111</v>
      </c>
      <c r="C39" s="235"/>
      <c r="D39" s="235"/>
      <c r="E39" s="235"/>
      <c r="F39" s="235"/>
      <c r="G39" s="242"/>
      <c r="H39" s="235" t="s">
        <v>1112</v>
      </c>
      <c r="I39" s="235"/>
      <c r="J39" s="235"/>
      <c r="K39" s="235"/>
      <c r="P39" s="243"/>
    </row>
    <row r="40" spans="1:16" x14ac:dyDescent="0.3">
      <c r="A40" s="226"/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8"/>
    </row>
    <row r="41" spans="1:16" x14ac:dyDescent="0.3">
      <c r="A41" s="229" t="s">
        <v>1147</v>
      </c>
      <c r="B41" s="229"/>
      <c r="C41" s="229"/>
      <c r="D41" s="229"/>
      <c r="E41" s="229"/>
      <c r="F41" s="229"/>
      <c r="G41" s="229"/>
      <c r="H41" s="229"/>
      <c r="I41" s="230" t="s">
        <v>1114</v>
      </c>
      <c r="J41" s="230"/>
      <c r="K41" s="230"/>
      <c r="L41" s="230"/>
      <c r="M41" s="230"/>
      <c r="N41" s="230"/>
      <c r="O41" s="230"/>
      <c r="P41" s="230"/>
    </row>
    <row r="42" spans="1:16" x14ac:dyDescent="0.3">
      <c r="A42" s="231"/>
      <c r="B42" s="232"/>
      <c r="C42" s="232"/>
      <c r="D42" s="232"/>
      <c r="E42" s="232"/>
      <c r="F42" s="232"/>
      <c r="G42" s="232"/>
      <c r="H42" s="233"/>
      <c r="I42" s="231"/>
      <c r="J42" s="232"/>
      <c r="K42" s="232"/>
      <c r="L42" s="232"/>
      <c r="M42" s="232"/>
      <c r="N42" s="232"/>
      <c r="O42" s="232"/>
      <c r="P42" s="233"/>
    </row>
    <row r="43" spans="1:16" x14ac:dyDescent="0.3">
      <c r="A43" s="234"/>
      <c r="B43" s="235"/>
      <c r="C43" s="235"/>
      <c r="D43" s="235"/>
      <c r="E43" s="235"/>
      <c r="F43" s="235"/>
      <c r="G43" s="235"/>
      <c r="H43" s="236"/>
      <c r="I43" s="234"/>
      <c r="J43" s="235"/>
      <c r="K43" s="235"/>
      <c r="L43" s="235"/>
      <c r="M43" s="235"/>
      <c r="N43" s="235"/>
      <c r="O43" s="235"/>
      <c r="P43" s="236"/>
    </row>
    <row r="44" spans="1:16" x14ac:dyDescent="0.3">
      <c r="A44" s="234"/>
      <c r="B44" s="235"/>
      <c r="C44" s="235"/>
      <c r="D44" s="235"/>
      <c r="E44" s="235"/>
      <c r="F44" s="235"/>
      <c r="G44" s="235"/>
      <c r="H44" s="236"/>
      <c r="I44" s="234"/>
      <c r="J44" s="235"/>
      <c r="K44" s="235"/>
      <c r="L44" s="235"/>
      <c r="M44" s="235"/>
      <c r="N44" s="235"/>
      <c r="O44" s="235"/>
      <c r="P44" s="236"/>
    </row>
    <row r="45" spans="1:16" x14ac:dyDescent="0.3">
      <c r="A45" s="234"/>
      <c r="B45" s="235"/>
      <c r="C45" s="235"/>
      <c r="D45" s="235"/>
      <c r="E45" s="235"/>
      <c r="F45" s="235"/>
      <c r="G45" s="235"/>
      <c r="H45" s="236"/>
      <c r="I45" s="234"/>
      <c r="J45" s="235"/>
      <c r="K45" s="235"/>
      <c r="L45" s="235"/>
      <c r="M45" s="235"/>
      <c r="N45" s="235"/>
      <c r="O45" s="235"/>
      <c r="P45" s="236"/>
    </row>
    <row r="46" spans="1:16" x14ac:dyDescent="0.3">
      <c r="A46" s="234"/>
      <c r="B46" s="235"/>
      <c r="C46" s="235"/>
      <c r="D46" s="235"/>
      <c r="E46" s="235"/>
      <c r="F46" s="235"/>
      <c r="G46" s="235"/>
      <c r="H46" s="236"/>
      <c r="I46" s="237"/>
      <c r="J46" s="238"/>
      <c r="K46" s="238"/>
      <c r="L46" s="238"/>
      <c r="M46" s="238"/>
      <c r="N46" s="238"/>
      <c r="O46" s="238"/>
      <c r="P46" s="239"/>
    </row>
    <row r="47" spans="1:16" x14ac:dyDescent="0.3">
      <c r="A47" s="237"/>
      <c r="B47" s="238"/>
      <c r="C47" s="238"/>
      <c r="D47" s="238"/>
      <c r="E47" s="238"/>
      <c r="F47" s="238"/>
      <c r="G47" s="238"/>
      <c r="H47" s="239"/>
      <c r="I47" s="240" t="s">
        <v>1121</v>
      </c>
      <c r="J47" s="240"/>
      <c r="K47" s="240"/>
      <c r="L47" s="240"/>
      <c r="M47" s="240"/>
      <c r="N47" s="240"/>
      <c r="O47" s="240"/>
      <c r="P47" s="240"/>
    </row>
    <row r="48" spans="1:16" ht="11.25" customHeight="1" x14ac:dyDescent="0.3">
      <c r="A48" s="220" t="s">
        <v>1148</v>
      </c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2"/>
    </row>
    <row r="49" spans="1:16" ht="11.25" customHeight="1" x14ac:dyDescent="0.3">
      <c r="A49" s="223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5"/>
    </row>
  </sheetData>
  <mergeCells count="82">
    <mergeCell ref="A1:P1"/>
    <mergeCell ref="A2:P2"/>
    <mergeCell ref="A3:B3"/>
    <mergeCell ref="C3:E3"/>
    <mergeCell ref="F3:H3"/>
    <mergeCell ref="I3:P3"/>
    <mergeCell ref="F8:P8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7:B7"/>
    <mergeCell ref="C7:E7"/>
    <mergeCell ref="F7:H7"/>
    <mergeCell ref="I7:P7"/>
    <mergeCell ref="A12:P12"/>
    <mergeCell ref="A13:B13"/>
    <mergeCell ref="C13:P13"/>
    <mergeCell ref="A14:B14"/>
    <mergeCell ref="C14:P14"/>
    <mergeCell ref="A8:E8"/>
    <mergeCell ref="A16:H16"/>
    <mergeCell ref="I16:J16"/>
    <mergeCell ref="K16:P16"/>
    <mergeCell ref="A17:H17"/>
    <mergeCell ref="I17:J17"/>
    <mergeCell ref="K17:P17"/>
    <mergeCell ref="A15:H15"/>
    <mergeCell ref="I15:J15"/>
    <mergeCell ref="K15:P15"/>
    <mergeCell ref="B9:E9"/>
    <mergeCell ref="F9:P9"/>
    <mergeCell ref="A10:E10"/>
    <mergeCell ref="F10:P10"/>
    <mergeCell ref="A11:E11"/>
    <mergeCell ref="F11:P11"/>
    <mergeCell ref="A25:P25"/>
    <mergeCell ref="A18:H18"/>
    <mergeCell ref="I18:J18"/>
    <mergeCell ref="K18:P18"/>
    <mergeCell ref="A19:P19"/>
    <mergeCell ref="A20:E20"/>
    <mergeCell ref="F20:H20"/>
    <mergeCell ref="I20:P20"/>
    <mergeCell ref="A21:E21"/>
    <mergeCell ref="I21:P21"/>
    <mergeCell ref="A22:P22"/>
    <mergeCell ref="A23:P23"/>
    <mergeCell ref="A24:P24"/>
    <mergeCell ref="A37:P37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8:A39"/>
    <mergeCell ref="B38:F38"/>
    <mergeCell ref="G38:G39"/>
    <mergeCell ref="H38:K38"/>
    <mergeCell ref="P38:P39"/>
    <mergeCell ref="B39:F39"/>
    <mergeCell ref="H39:K39"/>
    <mergeCell ref="A48:P49"/>
    <mergeCell ref="A40:P40"/>
    <mergeCell ref="A41:H41"/>
    <mergeCell ref="I41:P41"/>
    <mergeCell ref="A42:H47"/>
    <mergeCell ref="I42:P46"/>
    <mergeCell ref="I47:P47"/>
  </mergeCells>
  <pageMargins left="0.511811024" right="0.511811024" top="0.78740157499999996" bottom="0.78740157499999996" header="0.31496062000000002" footer="0.31496062000000002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6"/>
  <sheetViews>
    <sheetView view="pageBreakPreview" zoomScale="85" zoomScaleNormal="70" zoomScaleSheetLayoutView="85" workbookViewId="0">
      <selection activeCell="A347" sqref="A347:A378"/>
    </sheetView>
  </sheetViews>
  <sheetFormatPr defaultColWidth="9.44140625" defaultRowHeight="14.4" x14ac:dyDescent="0.3"/>
  <cols>
    <col min="1" max="1" width="8.44140625" customWidth="1"/>
    <col min="2" max="2" width="90.5546875" customWidth="1"/>
    <col min="3" max="3" width="9.5546875" customWidth="1"/>
    <col min="4" max="4" width="9.5546875" bestFit="1" customWidth="1"/>
    <col min="5" max="5" width="14.5546875" bestFit="1" customWidth="1"/>
    <col min="6" max="6" width="13.44140625" bestFit="1" customWidth="1"/>
    <col min="7" max="7" width="16.5546875" customWidth="1"/>
    <col min="8" max="8" width="20.44140625" customWidth="1"/>
    <col min="9" max="9" width="19.44140625" customWidth="1"/>
    <col min="10" max="10" width="21.44140625" customWidth="1"/>
    <col min="11" max="12" width="5.44140625" customWidth="1"/>
    <col min="13" max="13" width="53" customWidth="1"/>
    <col min="14" max="14" width="48.5546875" customWidth="1"/>
    <col min="15" max="20" width="9.5546875" customWidth="1"/>
    <col min="21" max="21" width="9.5546875" hidden="1" customWidth="1"/>
    <col min="22" max="22" width="12.44140625" hidden="1" customWidth="1"/>
    <col min="23" max="23" width="8.44140625" hidden="1" customWidth="1"/>
    <col min="24" max="24" width="18.5546875" hidden="1" customWidth="1"/>
    <col min="25" max="26" width="15.5546875" hidden="1" customWidth="1"/>
    <col min="27" max="29" width="9.4414062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44140625" hidden="1" customWidth="1"/>
    <col min="34" max="34" width="15.44140625" hidden="1" customWidth="1"/>
    <col min="35" max="35" width="18.5546875" hidden="1" customWidth="1"/>
    <col min="36" max="36" width="16.44140625" hidden="1" customWidth="1"/>
    <col min="37" max="37" width="9.44140625" hidden="1" customWidth="1"/>
    <col min="38" max="38" width="12.44140625" hidden="1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266" t="s">
        <v>1</v>
      </c>
      <c r="D3" s="266"/>
      <c r="E3" s="266"/>
      <c r="F3" s="266"/>
      <c r="G3" s="266"/>
      <c r="H3" s="266"/>
      <c r="I3" s="266"/>
      <c r="J3" s="267"/>
      <c r="M3" s="265" t="s">
        <v>2</v>
      </c>
      <c r="N3" s="265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1068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1067</v>
      </c>
      <c r="C5" s="84" t="s">
        <v>7</v>
      </c>
      <c r="D5" s="268" t="s">
        <v>1069</v>
      </c>
      <c r="E5" s="268"/>
      <c r="F5" s="268"/>
      <c r="G5" s="268"/>
      <c r="H5" s="60"/>
      <c r="I5" s="47" t="s">
        <v>8</v>
      </c>
      <c r="J5" s="48">
        <f>N7</f>
        <v>0.37860760996886877</v>
      </c>
      <c r="M5" s="85">
        <v>0.37859999999999999</v>
      </c>
      <c r="N5" s="85">
        <v>0.37859999999999999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1-(J537/AF537)</f>
        <v>0.37860760996886877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523740.87000000005</v>
      </c>
      <c r="I8" s="24">
        <f t="shared" si="0"/>
        <v>204215.58</v>
      </c>
      <c r="J8" s="24">
        <f>SUM(J9:J15)</f>
        <v>727956.45</v>
      </c>
      <c r="M8" s="263" t="s">
        <v>27</v>
      </c>
      <c r="N8" s="263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286</v>
      </c>
      <c r="D9" s="41" t="str">
        <f t="shared" si="1"/>
        <v xml:space="preserve">un </v>
      </c>
      <c r="E9" s="41">
        <f>ROUND((X9*(1-$M$5))*(1+BDI!$C$21),2)</f>
        <v>0</v>
      </c>
      <c r="F9" s="41">
        <f>ROUND((Y9*(1-$N$5))*(1+BDI!$C$21),2)</f>
        <v>76.34</v>
      </c>
      <c r="G9" s="41">
        <f>F9+E9</f>
        <v>76.34</v>
      </c>
      <c r="H9" s="13">
        <f>C9*E9</f>
        <v>0</v>
      </c>
      <c r="I9" s="13">
        <f>C9*F9</f>
        <v>21833.24</v>
      </c>
      <c r="J9" s="14">
        <f>SUM(E9:F9)*C9</f>
        <v>21833.24</v>
      </c>
      <c r="M9" s="263"/>
      <c r="N9" s="263"/>
      <c r="V9" s="74">
        <v>286</v>
      </c>
      <c r="W9" s="74" t="s">
        <v>30</v>
      </c>
      <c r="X9" s="78">
        <v>0</v>
      </c>
      <c r="Y9" s="78">
        <v>95.37</v>
      </c>
      <c r="Z9" s="13">
        <f t="shared" ref="Z9:Z15" si="2">SUM(X9:Y9)</f>
        <v>95.37</v>
      </c>
      <c r="AB9" s="74">
        <v>286</v>
      </c>
      <c r="AC9" s="74" t="s">
        <v>30</v>
      </c>
      <c r="AD9" s="78">
        <v>0</v>
      </c>
      <c r="AE9" s="78">
        <v>122.86</v>
      </c>
      <c r="AF9" s="13">
        <f t="shared" ref="AF9:AF15" si="3">SUM(AD9:AE9)</f>
        <v>122.86</v>
      </c>
      <c r="AH9" s="89">
        <f t="shared" ref="AH9:AH78" si="4">IF(E9=0,0,(E9/AD9)-1)</f>
        <v>0</v>
      </c>
      <c r="AI9" s="89">
        <f>IF(F9=0,0,(F9/AE9)-1)</f>
        <v>-0.3786423571544848</v>
      </c>
      <c r="AJ9" s="89">
        <f>IF(G9=0,0,(G9/AF9)-1)</f>
        <v>-0.3786423571544848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ref="C10:C12" si="5">V10</f>
        <v>213840</v>
      </c>
      <c r="D10" s="41" t="str">
        <f t="shared" ref="D10:D12" si="6">W10</f>
        <v>km</v>
      </c>
      <c r="E10" s="41">
        <f>ROUND((X10*(1-$M$5))*(1+BDI!$C$21),2)</f>
        <v>1.51</v>
      </c>
      <c r="F10" s="41">
        <f>ROUND((Y10*(1-$N$5))*(1+BDI!$C$21),2)</f>
        <v>0.64</v>
      </c>
      <c r="G10" s="41">
        <f t="shared" ref="G10:G12" si="7">F10+E10</f>
        <v>2.15</v>
      </c>
      <c r="H10" s="13">
        <f t="shared" ref="H10:H12" si="8">C10*E10</f>
        <v>322898.40000000002</v>
      </c>
      <c r="I10" s="13">
        <f t="shared" ref="I10:I12" si="9">C10*F10</f>
        <v>136857.60000000001</v>
      </c>
      <c r="J10" s="14">
        <f t="shared" ref="J10:J12" si="10">SUM(E10:F10)*C10</f>
        <v>459756</v>
      </c>
      <c r="M10" s="86"/>
      <c r="N10" s="86"/>
      <c r="V10" s="74">
        <v>213840</v>
      </c>
      <c r="W10" s="74" t="s">
        <v>33</v>
      </c>
      <c r="X10" s="78">
        <v>1.89</v>
      </c>
      <c r="Y10" s="78">
        <v>0.8</v>
      </c>
      <c r="Z10" s="13">
        <f t="shared" si="2"/>
        <v>2.69</v>
      </c>
      <c r="AB10" s="74">
        <v>213840</v>
      </c>
      <c r="AC10" s="74" t="s">
        <v>33</v>
      </c>
      <c r="AD10" s="78">
        <v>2.4300000000000002</v>
      </c>
      <c r="AE10" s="78">
        <v>1.03</v>
      </c>
      <c r="AF10" s="13">
        <f t="shared" si="3"/>
        <v>3.46</v>
      </c>
      <c r="AH10" s="89">
        <f t="shared" ref="AH10:AH12" si="11">IF(E10=0,0,(E10/AD10)-1)</f>
        <v>-0.37860082304526754</v>
      </c>
      <c r="AI10" s="89">
        <f t="shared" ref="AI10:AI12" si="12">IF(F10=0,0,(F10/AE10)-1)</f>
        <v>-0.37864077669902918</v>
      </c>
      <c r="AJ10" s="89">
        <f t="shared" ref="AJ10:AJ12" si="13">IF(G10=0,0,(G10/AF10)-1)</f>
        <v>-0.37861271676300579</v>
      </c>
    </row>
    <row r="11" spans="1:39" ht="21.75" customHeight="1" x14ac:dyDescent="0.3">
      <c r="A11" s="10" t="s">
        <v>34</v>
      </c>
      <c r="B11" s="11" t="s">
        <v>35</v>
      </c>
      <c r="C11" s="12">
        <f t="shared" si="5"/>
        <v>108</v>
      </c>
      <c r="D11" s="41" t="str">
        <f t="shared" si="6"/>
        <v xml:space="preserve">un </v>
      </c>
      <c r="E11" s="41">
        <f>ROUND((X11*(1-$M$5))*(1+BDI!$C$21),2)</f>
        <v>79.760000000000005</v>
      </c>
      <c r="F11" s="41">
        <f>ROUND((Y11*(1-$N$5))*(1+BDI!$C$21),2)</f>
        <v>412.76</v>
      </c>
      <c r="G11" s="41">
        <f t="shared" si="7"/>
        <v>492.52</v>
      </c>
      <c r="H11" s="13">
        <f t="shared" si="8"/>
        <v>8614.08</v>
      </c>
      <c r="I11" s="13">
        <f t="shared" si="9"/>
        <v>44578.080000000002</v>
      </c>
      <c r="J11" s="14">
        <f t="shared" si="10"/>
        <v>53192.159999999996</v>
      </c>
      <c r="M11" s="86"/>
      <c r="N11" s="86"/>
      <c r="V11" s="74">
        <v>108</v>
      </c>
      <c r="W11" s="74" t="s">
        <v>30</v>
      </c>
      <c r="X11" s="78">
        <v>99.64</v>
      </c>
      <c r="Y11" s="78">
        <v>515.64</v>
      </c>
      <c r="Z11" s="13">
        <f t="shared" si="2"/>
        <v>615.28</v>
      </c>
      <c r="AB11" s="74">
        <v>108</v>
      </c>
      <c r="AC11" s="74" t="s">
        <v>30</v>
      </c>
      <c r="AD11" s="78">
        <v>128.36000000000001</v>
      </c>
      <c r="AE11" s="78">
        <v>664.25</v>
      </c>
      <c r="AF11" s="13">
        <f t="shared" si="3"/>
        <v>792.61</v>
      </c>
      <c r="AH11" s="89">
        <f t="shared" si="11"/>
        <v>-0.37862262387036461</v>
      </c>
      <c r="AI11" s="89">
        <f t="shared" si="12"/>
        <v>-0.37860745201354917</v>
      </c>
      <c r="AJ11" s="89">
        <f t="shared" si="13"/>
        <v>-0.37860990903470815</v>
      </c>
    </row>
    <row r="12" spans="1:39" ht="21.75" customHeight="1" x14ac:dyDescent="0.3">
      <c r="A12" s="10" t="s">
        <v>36</v>
      </c>
      <c r="B12" s="11" t="s">
        <v>37</v>
      </c>
      <c r="C12" s="12">
        <f t="shared" si="5"/>
        <v>1</v>
      </c>
      <c r="D12" s="41" t="str">
        <f t="shared" si="6"/>
        <v xml:space="preserve">un </v>
      </c>
      <c r="E12" s="41">
        <f>ROUND((X12*(1-$M$5))*(1+BDI!$C$21),2)</f>
        <v>0</v>
      </c>
      <c r="F12" s="41">
        <f>ROUND((Y12*(1-$N$5))*(1+BDI!$C$21),2)</f>
        <v>389.42</v>
      </c>
      <c r="G12" s="41">
        <f t="shared" si="7"/>
        <v>389.42</v>
      </c>
      <c r="H12" s="13">
        <f t="shared" si="8"/>
        <v>0</v>
      </c>
      <c r="I12" s="13">
        <f t="shared" si="9"/>
        <v>389.42</v>
      </c>
      <c r="J12" s="14">
        <f t="shared" si="10"/>
        <v>389.42</v>
      </c>
      <c r="M12" s="86"/>
      <c r="N12" s="86"/>
      <c r="V12" s="74">
        <v>1</v>
      </c>
      <c r="W12" s="74" t="s">
        <v>30</v>
      </c>
      <c r="X12" s="78">
        <v>0</v>
      </c>
      <c r="Y12" s="78">
        <v>486.48</v>
      </c>
      <c r="Z12" s="13">
        <f t="shared" ref="Z12" si="14">SUM(X12:Y12)</f>
        <v>486.48</v>
      </c>
      <c r="AB12" s="74">
        <v>1</v>
      </c>
      <c r="AC12" s="74" t="s">
        <v>30</v>
      </c>
      <c r="AD12" s="78">
        <v>0</v>
      </c>
      <c r="AE12" s="78">
        <v>626.67999999999995</v>
      </c>
      <c r="AF12" s="13">
        <f t="shared" ref="AF12" si="15">SUM(AD12:AE12)</f>
        <v>626.67999999999995</v>
      </c>
      <c r="AH12" s="89">
        <f t="shared" si="11"/>
        <v>0</v>
      </c>
      <c r="AI12" s="89">
        <f t="shared" si="12"/>
        <v>-0.37859832769515533</v>
      </c>
      <c r="AJ12" s="89">
        <f t="shared" si="13"/>
        <v>-0.37859832769515533</v>
      </c>
    </row>
    <row r="13" spans="1:39" ht="21.75" customHeight="1" x14ac:dyDescent="0.3">
      <c r="A13" s="10" t="s">
        <v>38</v>
      </c>
      <c r="B13" s="11" t="s">
        <v>39</v>
      </c>
      <c r="C13" s="12">
        <f t="shared" si="1"/>
        <v>108</v>
      </c>
      <c r="D13" s="41" t="str">
        <f t="shared" si="1"/>
        <v xml:space="preserve">un </v>
      </c>
      <c r="E13" s="41">
        <f>ROUND((X13*(1-$M$5))*(1+BDI!$C$21),2)</f>
        <v>1779.12</v>
      </c>
      <c r="F13" s="41">
        <f>ROUND((Y13*(1-$N$5))*(1+BDI!$C$21),2)</f>
        <v>0</v>
      </c>
      <c r="G13" s="41">
        <f t="shared" ref="G13:G89" si="16">F13+E13</f>
        <v>1779.12</v>
      </c>
      <c r="H13" s="13">
        <f t="shared" ref="H13:H15" si="17">C13*E13</f>
        <v>192144.96</v>
      </c>
      <c r="I13" s="13">
        <f t="shared" ref="I13:I15" si="18">C13*F13</f>
        <v>0</v>
      </c>
      <c r="J13" s="14">
        <f t="shared" ref="J13:J52" si="19">SUM(E13:F13)*C13</f>
        <v>192144.96</v>
      </c>
      <c r="M13" s="86"/>
      <c r="N13" s="86"/>
      <c r="V13" s="74">
        <v>108</v>
      </c>
      <c r="W13" s="74" t="s">
        <v>30</v>
      </c>
      <c r="X13" s="78">
        <v>2222.54</v>
      </c>
      <c r="Y13" s="78">
        <v>0</v>
      </c>
      <c r="Z13" s="13">
        <f t="shared" si="2"/>
        <v>2222.54</v>
      </c>
      <c r="AB13" s="74">
        <v>108</v>
      </c>
      <c r="AC13" s="74" t="s">
        <v>30</v>
      </c>
      <c r="AD13" s="78">
        <v>2863.08</v>
      </c>
      <c r="AE13" s="78">
        <v>0</v>
      </c>
      <c r="AF13" s="13">
        <f t="shared" si="3"/>
        <v>2863.08</v>
      </c>
      <c r="AH13" s="89">
        <f t="shared" si="4"/>
        <v>-0.3785992707154533</v>
      </c>
      <c r="AI13" s="89">
        <f t="shared" ref="AI13:AI79" si="20">IF(F13=0,0,(F13/AE13)-1)</f>
        <v>0</v>
      </c>
      <c r="AJ13" s="89">
        <f t="shared" ref="AJ13:AJ79" si="21">IF(G13=0,0,(G13/AF13)-1)</f>
        <v>-0.3785992707154533</v>
      </c>
    </row>
    <row r="14" spans="1:39" ht="51.6" x14ac:dyDescent="0.3">
      <c r="A14" s="10" t="s">
        <v>40</v>
      </c>
      <c r="B14" s="11" t="s">
        <v>41</v>
      </c>
      <c r="C14" s="12">
        <f t="shared" si="1"/>
        <v>1</v>
      </c>
      <c r="D14" s="41" t="str">
        <f t="shared" si="1"/>
        <v>Km</v>
      </c>
      <c r="E14" s="41">
        <f>ROUND((X14*(1-$M$5))*(1+BDI!$C$21),2)</f>
        <v>0.75</v>
      </c>
      <c r="F14" s="41">
        <f>ROUND((Y14*(1-$N$5))*(1+BDI!$C$21),2)</f>
        <v>1.58</v>
      </c>
      <c r="G14" s="41">
        <f t="shared" si="16"/>
        <v>2.33</v>
      </c>
      <c r="H14" s="13">
        <f t="shared" si="17"/>
        <v>0.75</v>
      </c>
      <c r="I14" s="13">
        <f t="shared" si="18"/>
        <v>1.58</v>
      </c>
      <c r="J14" s="14">
        <f t="shared" si="19"/>
        <v>2.33</v>
      </c>
      <c r="M14" s="82" t="s">
        <v>42</v>
      </c>
      <c r="N14" s="93">
        <f>IF(M5=0,0,ROUND(AH540,4))</f>
        <v>-0.37859999999999999</v>
      </c>
      <c r="V14" s="74">
        <v>1</v>
      </c>
      <c r="W14" s="74" t="s">
        <v>43</v>
      </c>
      <c r="X14" s="78">
        <v>0.94</v>
      </c>
      <c r="Y14" s="78">
        <v>1.97</v>
      </c>
      <c r="Z14" s="13">
        <f t="shared" si="2"/>
        <v>2.91</v>
      </c>
      <c r="AB14" s="74">
        <v>1</v>
      </c>
      <c r="AC14" s="74" t="s">
        <v>43</v>
      </c>
      <c r="AD14" s="78">
        <v>1.21</v>
      </c>
      <c r="AE14" s="78">
        <v>2.54</v>
      </c>
      <c r="AF14" s="13">
        <f t="shared" si="3"/>
        <v>3.75</v>
      </c>
      <c r="AH14" s="89">
        <f t="shared" si="4"/>
        <v>-0.3801652892561983</v>
      </c>
      <c r="AI14" s="89">
        <f t="shared" si="20"/>
        <v>-0.37795275590551181</v>
      </c>
      <c r="AJ14" s="89">
        <f t="shared" si="21"/>
        <v>-0.3786666666666666</v>
      </c>
    </row>
    <row r="15" spans="1:39" ht="48.75" customHeight="1" x14ac:dyDescent="0.3">
      <c r="A15" s="10" t="s">
        <v>44</v>
      </c>
      <c r="B15" s="11" t="s">
        <v>1031</v>
      </c>
      <c r="C15" s="12">
        <f t="shared" si="1"/>
        <v>1</v>
      </c>
      <c r="D15" s="41" t="str">
        <f t="shared" si="1"/>
        <v>UN</v>
      </c>
      <c r="E15" s="41">
        <f>ROUND((X15*(1-$M$5))*(1+BDI!$C$21),2)</f>
        <v>82.68</v>
      </c>
      <c r="F15" s="41">
        <f>ROUND((Y15*(1-$N$5))*(1+BDI!$C$21),2)</f>
        <v>555.66</v>
      </c>
      <c r="G15" s="41">
        <f t="shared" si="16"/>
        <v>638.33999999999992</v>
      </c>
      <c r="H15" s="13">
        <f t="shared" si="17"/>
        <v>82.68</v>
      </c>
      <c r="I15" s="13">
        <f t="shared" si="18"/>
        <v>555.66</v>
      </c>
      <c r="J15" s="14">
        <f t="shared" si="19"/>
        <v>638.33999999999992</v>
      </c>
      <c r="M15" s="82" t="s">
        <v>45</v>
      </c>
      <c r="N15" s="93">
        <f>IF(N5=0,0,ROUND(AI540,4))</f>
        <v>-0.37859999999999999</v>
      </c>
      <c r="V15" s="74">
        <v>1</v>
      </c>
      <c r="W15" s="74" t="s">
        <v>46</v>
      </c>
      <c r="X15" s="78">
        <v>103.29</v>
      </c>
      <c r="Y15" s="78">
        <v>694.15</v>
      </c>
      <c r="Z15" s="13">
        <f t="shared" si="2"/>
        <v>797.43999999999994</v>
      </c>
      <c r="AB15" s="74">
        <v>1</v>
      </c>
      <c r="AC15" s="74" t="s">
        <v>46</v>
      </c>
      <c r="AD15" s="78">
        <v>133.06</v>
      </c>
      <c r="AE15" s="78">
        <v>894.2</v>
      </c>
      <c r="AF15" s="13">
        <f t="shared" si="3"/>
        <v>1027.26</v>
      </c>
      <c r="AH15" s="89">
        <f t="shared" si="4"/>
        <v>-0.37862618367653689</v>
      </c>
      <c r="AI15" s="89">
        <f t="shared" si="20"/>
        <v>-0.37859539252963548</v>
      </c>
      <c r="AJ15" s="89">
        <f t="shared" si="21"/>
        <v>-0.37859938087728529</v>
      </c>
    </row>
    <row r="16" spans="1:39" ht="20.25" customHeight="1" x14ac:dyDescent="0.3">
      <c r="A16" s="15">
        <v>2</v>
      </c>
      <c r="B16" s="16" t="s">
        <v>47</v>
      </c>
      <c r="C16" s="76"/>
      <c r="D16" s="58"/>
      <c r="E16" s="58"/>
      <c r="F16" s="58"/>
      <c r="G16" s="58"/>
      <c r="H16" s="43">
        <f t="shared" ref="H16:I16" si="22">SUM(H17:H52)</f>
        <v>101208.40000000001</v>
      </c>
      <c r="I16" s="43">
        <f t="shared" si="22"/>
        <v>134610.63999999996</v>
      </c>
      <c r="J16" s="43">
        <f>SUM(J17:J52)</f>
        <v>235819.03999999998</v>
      </c>
      <c r="M16" s="263" t="s">
        <v>48</v>
      </c>
      <c r="N16" s="263"/>
      <c r="V16" s="42"/>
      <c r="W16" s="42"/>
      <c r="X16" s="42"/>
      <c r="Y16" s="42"/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20"/>
        <v>0</v>
      </c>
      <c r="AJ16" s="89">
        <f t="shared" si="21"/>
        <v>0</v>
      </c>
    </row>
    <row r="17" spans="1:36" ht="15" customHeight="1" x14ac:dyDescent="0.3">
      <c r="A17" s="10" t="s">
        <v>49</v>
      </c>
      <c r="B17" s="11" t="s">
        <v>50</v>
      </c>
      <c r="C17" s="12">
        <f t="shared" ref="C17:C52" si="23">V17</f>
        <v>24</v>
      </c>
      <c r="D17" s="41" t="str">
        <f t="shared" ref="D17:D52" si="24">W17</f>
        <v>m³</v>
      </c>
      <c r="E17" s="41">
        <f>ROUND((X17*(1-$M$5))*(1+BDI!$C$21),2)</f>
        <v>0</v>
      </c>
      <c r="F17" s="41">
        <f>ROUND((Y17*(1-$N$5))*(1+BDI!$C$21),2)</f>
        <v>306.35000000000002</v>
      </c>
      <c r="G17" s="41">
        <f t="shared" si="16"/>
        <v>306.35000000000002</v>
      </c>
      <c r="H17" s="13">
        <f t="shared" ref="H17:H52" si="25">C17*E17</f>
        <v>0</v>
      </c>
      <c r="I17" s="13">
        <f t="shared" ref="I17:I52" si="26">C17*F17</f>
        <v>7352.4000000000005</v>
      </c>
      <c r="J17" s="14">
        <f t="shared" si="19"/>
        <v>7352.4000000000005</v>
      </c>
      <c r="V17" s="74">
        <v>24</v>
      </c>
      <c r="W17" s="74" t="s">
        <v>51</v>
      </c>
      <c r="X17" s="13">
        <v>0</v>
      </c>
      <c r="Y17" s="13">
        <v>382.71</v>
      </c>
      <c r="Z17" s="13">
        <f t="shared" ref="Z17:Z52" si="27">SUM(X17:Y17)</f>
        <v>382.71</v>
      </c>
      <c r="AB17" s="74">
        <v>24</v>
      </c>
      <c r="AC17" s="74" t="s">
        <v>51</v>
      </c>
      <c r="AD17" s="13">
        <v>0</v>
      </c>
      <c r="AE17" s="13">
        <v>493.01</v>
      </c>
      <c r="AF17" s="13">
        <f t="shared" ref="AF17:AF39" si="28">SUM(AD17:AE17)</f>
        <v>493.01</v>
      </c>
      <c r="AH17" s="89">
        <f t="shared" si="4"/>
        <v>0</v>
      </c>
      <c r="AI17" s="89">
        <f t="shared" si="20"/>
        <v>-0.37861300987809576</v>
      </c>
      <c r="AJ17" s="89">
        <f t="shared" si="21"/>
        <v>-0.37861300987809576</v>
      </c>
    </row>
    <row r="18" spans="1:36" ht="15" customHeight="1" x14ac:dyDescent="0.3">
      <c r="A18" s="10" t="s">
        <v>52</v>
      </c>
      <c r="B18" s="11" t="s">
        <v>53</v>
      </c>
      <c r="C18" s="12">
        <f t="shared" si="23"/>
        <v>43</v>
      </c>
      <c r="D18" s="41" t="str">
        <f t="shared" si="24"/>
        <v>m³</v>
      </c>
      <c r="E18" s="41">
        <f>ROUND((X18*(1-$M$5))*(1+BDI!$C$21),2)</f>
        <v>0</v>
      </c>
      <c r="F18" s="41">
        <f>ROUND((Y18*(1-$N$5))*(1+BDI!$C$21),2)</f>
        <v>70.7</v>
      </c>
      <c r="G18" s="41">
        <f t="shared" si="16"/>
        <v>70.7</v>
      </c>
      <c r="H18" s="13">
        <f t="shared" si="25"/>
        <v>0</v>
      </c>
      <c r="I18" s="13">
        <f t="shared" si="26"/>
        <v>3040.1</v>
      </c>
      <c r="J18" s="14">
        <f t="shared" si="19"/>
        <v>3040.1</v>
      </c>
      <c r="M18" s="262" t="s">
        <v>54</v>
      </c>
      <c r="N18" s="262"/>
      <c r="V18" s="74">
        <v>43</v>
      </c>
      <c r="W18" s="74" t="s">
        <v>51</v>
      </c>
      <c r="X18" s="13">
        <v>0</v>
      </c>
      <c r="Y18" s="13">
        <v>88.32</v>
      </c>
      <c r="Z18" s="13">
        <f t="shared" si="27"/>
        <v>88.32</v>
      </c>
      <c r="AB18" s="74">
        <v>43</v>
      </c>
      <c r="AC18" s="74" t="s">
        <v>51</v>
      </c>
      <c r="AD18" s="13">
        <v>0</v>
      </c>
      <c r="AE18" s="13">
        <v>113.77</v>
      </c>
      <c r="AF18" s="13">
        <f t="shared" si="28"/>
        <v>113.77</v>
      </c>
      <c r="AH18" s="89">
        <f t="shared" si="4"/>
        <v>0</v>
      </c>
      <c r="AI18" s="89">
        <f t="shared" si="20"/>
        <v>-0.37857080073833171</v>
      </c>
      <c r="AJ18" s="89">
        <f t="shared" si="21"/>
        <v>-0.37857080073833171</v>
      </c>
    </row>
    <row r="19" spans="1:36" ht="15" customHeight="1" x14ac:dyDescent="0.3">
      <c r="A19" s="10" t="s">
        <v>55</v>
      </c>
      <c r="B19" s="11" t="s">
        <v>56</v>
      </c>
      <c r="C19" s="12">
        <f t="shared" si="23"/>
        <v>308</v>
      </c>
      <c r="D19" s="41" t="str">
        <f t="shared" si="24"/>
        <v>m³</v>
      </c>
      <c r="E19" s="41">
        <f>ROUND((X19*(1-$M$5))*(1+BDI!$C$21),2)</f>
        <v>0</v>
      </c>
      <c r="F19" s="41">
        <f>ROUND((Y19*(1-$N$5))*(1+BDI!$C$21),2)</f>
        <v>7.5</v>
      </c>
      <c r="G19" s="41">
        <f t="shared" si="16"/>
        <v>7.5</v>
      </c>
      <c r="H19" s="13">
        <f t="shared" si="25"/>
        <v>0</v>
      </c>
      <c r="I19" s="13">
        <f t="shared" si="26"/>
        <v>2310</v>
      </c>
      <c r="J19" s="14">
        <f t="shared" si="19"/>
        <v>2310</v>
      </c>
      <c r="M19" s="262"/>
      <c r="N19" s="262"/>
      <c r="V19" s="74">
        <v>308</v>
      </c>
      <c r="W19" s="74" t="s">
        <v>51</v>
      </c>
      <c r="X19" s="13">
        <v>0</v>
      </c>
      <c r="Y19" s="13">
        <v>9.3699999999999992</v>
      </c>
      <c r="Z19" s="13">
        <f t="shared" si="27"/>
        <v>9.3699999999999992</v>
      </c>
      <c r="AB19" s="74">
        <v>308</v>
      </c>
      <c r="AC19" s="74" t="s">
        <v>51</v>
      </c>
      <c r="AD19" s="13">
        <v>0</v>
      </c>
      <c r="AE19" s="13">
        <v>12.07</v>
      </c>
      <c r="AF19" s="13">
        <f t="shared" si="28"/>
        <v>12.07</v>
      </c>
      <c r="AH19" s="89">
        <f t="shared" si="4"/>
        <v>0</v>
      </c>
      <c r="AI19" s="89">
        <f t="shared" si="20"/>
        <v>-0.37862468931234472</v>
      </c>
      <c r="AJ19" s="89">
        <f t="shared" si="21"/>
        <v>-0.37862468931234472</v>
      </c>
    </row>
    <row r="20" spans="1:36" ht="30" customHeight="1" x14ac:dyDescent="0.3">
      <c r="A20" s="10" t="s">
        <v>57</v>
      </c>
      <c r="B20" s="11" t="s">
        <v>58</v>
      </c>
      <c r="C20" s="12">
        <f t="shared" si="23"/>
        <v>247</v>
      </c>
      <c r="D20" s="41" t="str">
        <f t="shared" si="24"/>
        <v>m²</v>
      </c>
      <c r="E20" s="41">
        <f>ROUND((X20*(1-$M$5))*(1+BDI!$C$21),2)</f>
        <v>0</v>
      </c>
      <c r="F20" s="41">
        <f>ROUND((Y20*(1-$N$5))*(1+BDI!$C$21),2)</f>
        <v>32.99</v>
      </c>
      <c r="G20" s="41">
        <f t="shared" si="16"/>
        <v>32.99</v>
      </c>
      <c r="H20" s="13">
        <f t="shared" si="25"/>
        <v>0</v>
      </c>
      <c r="I20" s="13">
        <f t="shared" si="26"/>
        <v>8148.5300000000007</v>
      </c>
      <c r="J20" s="14">
        <f t="shared" si="19"/>
        <v>8148.5300000000007</v>
      </c>
      <c r="M20" s="262"/>
      <c r="N20" s="262"/>
      <c r="V20" s="74">
        <v>247</v>
      </c>
      <c r="W20" s="74" t="s">
        <v>59</v>
      </c>
      <c r="X20" s="13">
        <v>0</v>
      </c>
      <c r="Y20" s="13">
        <v>41.21</v>
      </c>
      <c r="Z20" s="13">
        <f t="shared" si="27"/>
        <v>41.21</v>
      </c>
      <c r="AB20" s="74">
        <v>247</v>
      </c>
      <c r="AC20" s="74" t="s">
        <v>59</v>
      </c>
      <c r="AD20" s="13">
        <v>0</v>
      </c>
      <c r="AE20" s="13">
        <v>53.09</v>
      </c>
      <c r="AF20" s="13">
        <f t="shared" si="28"/>
        <v>53.09</v>
      </c>
      <c r="AH20" s="89">
        <f t="shared" si="4"/>
        <v>0</v>
      </c>
      <c r="AI20" s="89">
        <f t="shared" si="20"/>
        <v>-0.37860237332831037</v>
      </c>
      <c r="AJ20" s="89">
        <f t="shared" si="21"/>
        <v>-0.37860237332831037</v>
      </c>
    </row>
    <row r="21" spans="1:36" ht="28.8" x14ac:dyDescent="0.3">
      <c r="A21" s="10" t="s">
        <v>60</v>
      </c>
      <c r="B21" s="11" t="s">
        <v>61</v>
      </c>
      <c r="C21" s="12">
        <f t="shared" si="23"/>
        <v>96</v>
      </c>
      <c r="D21" s="41" t="str">
        <f t="shared" si="24"/>
        <v>m²</v>
      </c>
      <c r="E21" s="41">
        <f>ROUND((X21*(1-$M$5))*(1+BDI!$C$21),2)</f>
        <v>24.01</v>
      </c>
      <c r="F21" s="41">
        <f>ROUND((Y21*(1-$N$5))*(1+BDI!$C$21),2)</f>
        <v>16.5</v>
      </c>
      <c r="G21" s="41">
        <f t="shared" si="16"/>
        <v>40.510000000000005</v>
      </c>
      <c r="H21" s="13">
        <f t="shared" si="25"/>
        <v>2304.96</v>
      </c>
      <c r="I21" s="13">
        <f t="shared" si="26"/>
        <v>1584</v>
      </c>
      <c r="J21" s="14">
        <f t="shared" si="19"/>
        <v>3888.9600000000005</v>
      </c>
      <c r="V21" s="74">
        <v>96</v>
      </c>
      <c r="W21" s="74" t="s">
        <v>59</v>
      </c>
      <c r="X21" s="13">
        <v>30</v>
      </c>
      <c r="Y21" s="13">
        <v>20.61</v>
      </c>
      <c r="Z21" s="13">
        <f t="shared" si="27"/>
        <v>50.61</v>
      </c>
      <c r="AB21" s="74">
        <v>96</v>
      </c>
      <c r="AC21" s="74" t="s">
        <v>59</v>
      </c>
      <c r="AD21" s="13">
        <v>38.65</v>
      </c>
      <c r="AE21" s="13">
        <v>26.55</v>
      </c>
      <c r="AF21" s="13">
        <f t="shared" si="28"/>
        <v>65.2</v>
      </c>
      <c r="AH21" s="89">
        <f t="shared" si="4"/>
        <v>-0.37878395860284597</v>
      </c>
      <c r="AI21" s="89">
        <f t="shared" si="20"/>
        <v>-0.37853107344632775</v>
      </c>
      <c r="AJ21" s="89">
        <f t="shared" si="21"/>
        <v>-0.378680981595092</v>
      </c>
    </row>
    <row r="22" spans="1:36" ht="15" customHeight="1" x14ac:dyDescent="0.3">
      <c r="A22" s="10" t="s">
        <v>62</v>
      </c>
      <c r="B22" s="11" t="s">
        <v>63</v>
      </c>
      <c r="C22" s="12">
        <f t="shared" si="23"/>
        <v>6</v>
      </c>
      <c r="D22" s="41" t="str">
        <f t="shared" si="24"/>
        <v>m²</v>
      </c>
      <c r="E22" s="41">
        <f>ROUND((X22*(1-$M$5))*(1+BDI!$C$21),2)</f>
        <v>0</v>
      </c>
      <c r="F22" s="41">
        <f>ROUND((Y22*(1-$N$5))*(1+BDI!$C$21),2)</f>
        <v>16.5</v>
      </c>
      <c r="G22" s="41">
        <f t="shared" si="16"/>
        <v>16.5</v>
      </c>
      <c r="H22" s="13">
        <f t="shared" si="25"/>
        <v>0</v>
      </c>
      <c r="I22" s="13">
        <f t="shared" si="26"/>
        <v>99</v>
      </c>
      <c r="J22" s="14">
        <f t="shared" si="19"/>
        <v>99</v>
      </c>
      <c r="V22" s="74">
        <v>6</v>
      </c>
      <c r="W22" s="74" t="s">
        <v>59</v>
      </c>
      <c r="X22" s="13">
        <v>0</v>
      </c>
      <c r="Y22" s="13">
        <v>20.61</v>
      </c>
      <c r="Z22" s="13">
        <f t="shared" si="27"/>
        <v>20.61</v>
      </c>
      <c r="AB22" s="74">
        <v>6</v>
      </c>
      <c r="AC22" s="74" t="s">
        <v>59</v>
      </c>
      <c r="AD22" s="13">
        <v>0</v>
      </c>
      <c r="AE22" s="13">
        <v>26.55</v>
      </c>
      <c r="AF22" s="13">
        <f t="shared" si="28"/>
        <v>26.55</v>
      </c>
      <c r="AH22" s="89">
        <f t="shared" si="4"/>
        <v>0</v>
      </c>
      <c r="AI22" s="89">
        <f t="shared" si="20"/>
        <v>-0.37853107344632775</v>
      </c>
      <c r="AJ22" s="89">
        <f t="shared" si="21"/>
        <v>-0.37853107344632775</v>
      </c>
    </row>
    <row r="23" spans="1:36" ht="15" customHeight="1" x14ac:dyDescent="0.3">
      <c r="A23" s="10" t="s">
        <v>64</v>
      </c>
      <c r="B23" s="11" t="s">
        <v>65</v>
      </c>
      <c r="C23" s="12">
        <f t="shared" si="23"/>
        <v>35</v>
      </c>
      <c r="D23" s="41" t="str">
        <f t="shared" si="24"/>
        <v>m²</v>
      </c>
      <c r="E23" s="41">
        <f>ROUND((X23*(1-$M$5))*(1+BDI!$C$21),2)</f>
        <v>0</v>
      </c>
      <c r="F23" s="41">
        <f>ROUND((Y23*(1-$N$5))*(1+BDI!$C$21),2)</f>
        <v>30.63</v>
      </c>
      <c r="G23" s="41">
        <f t="shared" si="16"/>
        <v>30.63</v>
      </c>
      <c r="H23" s="13">
        <f t="shared" si="25"/>
        <v>0</v>
      </c>
      <c r="I23" s="13">
        <f t="shared" si="26"/>
        <v>1072.05</v>
      </c>
      <c r="J23" s="14">
        <f t="shared" si="19"/>
        <v>1072.05</v>
      </c>
      <c r="V23" s="74">
        <v>35</v>
      </c>
      <c r="W23" s="74" t="s">
        <v>59</v>
      </c>
      <c r="X23" s="13">
        <v>0</v>
      </c>
      <c r="Y23" s="13">
        <v>38.270000000000003</v>
      </c>
      <c r="Z23" s="13">
        <f t="shared" si="27"/>
        <v>38.270000000000003</v>
      </c>
      <c r="AB23" s="74">
        <v>35</v>
      </c>
      <c r="AC23" s="74" t="s">
        <v>59</v>
      </c>
      <c r="AD23" s="13">
        <v>0</v>
      </c>
      <c r="AE23" s="13">
        <v>49.3</v>
      </c>
      <c r="AF23" s="13">
        <f t="shared" si="28"/>
        <v>49.3</v>
      </c>
      <c r="AH23" s="89">
        <f t="shared" si="4"/>
        <v>0</v>
      </c>
      <c r="AI23" s="89">
        <f t="shared" si="20"/>
        <v>-0.37870182555780929</v>
      </c>
      <c r="AJ23" s="89">
        <f t="shared" si="21"/>
        <v>-0.37870182555780929</v>
      </c>
    </row>
    <row r="24" spans="1:36" ht="15" customHeight="1" x14ac:dyDescent="0.3">
      <c r="A24" s="10" t="s">
        <v>66</v>
      </c>
      <c r="B24" s="11" t="s">
        <v>67</v>
      </c>
      <c r="C24" s="12">
        <f t="shared" si="23"/>
        <v>794</v>
      </c>
      <c r="D24" s="41" t="str">
        <f t="shared" si="24"/>
        <v>m²</v>
      </c>
      <c r="E24" s="41">
        <f>ROUND((X24*(1-$M$5))*(1+BDI!$C$21),2)</f>
        <v>0</v>
      </c>
      <c r="F24" s="41">
        <f>ROUND((Y24*(1-$N$5))*(1+BDI!$C$21),2)</f>
        <v>9.43</v>
      </c>
      <c r="G24" s="41">
        <f t="shared" si="16"/>
        <v>9.43</v>
      </c>
      <c r="H24" s="13">
        <f t="shared" si="25"/>
        <v>0</v>
      </c>
      <c r="I24" s="13">
        <f t="shared" si="26"/>
        <v>7487.42</v>
      </c>
      <c r="J24" s="14">
        <f t="shared" si="19"/>
        <v>7487.42</v>
      </c>
      <c r="M24" s="264" t="s">
        <v>68</v>
      </c>
      <c r="N24" s="264"/>
      <c r="V24" s="74">
        <v>794</v>
      </c>
      <c r="W24" s="74" t="s">
        <v>59</v>
      </c>
      <c r="X24" s="13">
        <v>0</v>
      </c>
      <c r="Y24" s="13">
        <v>11.78</v>
      </c>
      <c r="Z24" s="13">
        <f t="shared" si="27"/>
        <v>11.78</v>
      </c>
      <c r="AB24" s="74">
        <v>794</v>
      </c>
      <c r="AC24" s="74" t="s">
        <v>59</v>
      </c>
      <c r="AD24" s="13">
        <v>0</v>
      </c>
      <c r="AE24" s="13">
        <v>15.17</v>
      </c>
      <c r="AF24" s="13">
        <f t="shared" si="28"/>
        <v>15.17</v>
      </c>
      <c r="AH24" s="89">
        <f t="shared" si="4"/>
        <v>0</v>
      </c>
      <c r="AI24" s="89">
        <f t="shared" si="20"/>
        <v>-0.3783783783783784</v>
      </c>
      <c r="AJ24" s="89">
        <f t="shared" si="21"/>
        <v>-0.3783783783783784</v>
      </c>
    </row>
    <row r="25" spans="1:36" ht="15" customHeight="1" x14ac:dyDescent="0.3">
      <c r="A25" s="10" t="s">
        <v>69</v>
      </c>
      <c r="B25" s="11" t="s">
        <v>70</v>
      </c>
      <c r="C25" s="12">
        <f t="shared" si="23"/>
        <v>172</v>
      </c>
      <c r="D25" s="41" t="str">
        <f t="shared" si="24"/>
        <v>m²</v>
      </c>
      <c r="E25" s="41">
        <f>ROUND((X25*(1-$M$5))*(1+BDI!$C$21),2)</f>
        <v>0</v>
      </c>
      <c r="F25" s="41">
        <f>ROUND((Y25*(1-$N$5))*(1+BDI!$C$21),2)</f>
        <v>11.78</v>
      </c>
      <c r="G25" s="41">
        <f t="shared" si="16"/>
        <v>11.78</v>
      </c>
      <c r="H25" s="13">
        <f t="shared" si="25"/>
        <v>0</v>
      </c>
      <c r="I25" s="13">
        <f t="shared" si="26"/>
        <v>2026.1599999999999</v>
      </c>
      <c r="J25" s="14">
        <f t="shared" si="19"/>
        <v>2026.1599999999999</v>
      </c>
      <c r="M25" s="264"/>
      <c r="N25" s="264"/>
      <c r="V25" s="74">
        <v>172</v>
      </c>
      <c r="W25" s="74" t="s">
        <v>59</v>
      </c>
      <c r="X25" s="13">
        <v>0</v>
      </c>
      <c r="Y25" s="13">
        <v>14.72</v>
      </c>
      <c r="Z25" s="13">
        <f t="shared" si="27"/>
        <v>14.72</v>
      </c>
      <c r="AB25" s="74">
        <v>172</v>
      </c>
      <c r="AC25" s="74" t="s">
        <v>59</v>
      </c>
      <c r="AD25" s="13">
        <v>0</v>
      </c>
      <c r="AE25" s="13">
        <v>18.96</v>
      </c>
      <c r="AF25" s="13">
        <f t="shared" si="28"/>
        <v>18.96</v>
      </c>
      <c r="AH25" s="89">
        <f t="shared" si="4"/>
        <v>0</v>
      </c>
      <c r="AI25" s="89">
        <f t="shared" si="20"/>
        <v>-0.37869198312236296</v>
      </c>
      <c r="AJ25" s="89">
        <f t="shared" si="21"/>
        <v>-0.37869198312236296</v>
      </c>
    </row>
    <row r="26" spans="1:36" ht="15" customHeight="1" x14ac:dyDescent="0.3">
      <c r="A26" s="10" t="s">
        <v>71</v>
      </c>
      <c r="B26" s="11" t="s">
        <v>72</v>
      </c>
      <c r="C26" s="12">
        <f t="shared" si="23"/>
        <v>52</v>
      </c>
      <c r="D26" s="41" t="str">
        <f t="shared" si="24"/>
        <v>m²</v>
      </c>
      <c r="E26" s="41">
        <f>ROUND((X26*(1-$M$5))*(1+BDI!$C$21),2)</f>
        <v>0</v>
      </c>
      <c r="F26" s="41">
        <f>ROUND((Y26*(1-$N$5))*(1+BDI!$C$21),2)</f>
        <v>32.56</v>
      </c>
      <c r="G26" s="41">
        <f t="shared" si="16"/>
        <v>32.56</v>
      </c>
      <c r="H26" s="13">
        <f t="shared" si="25"/>
        <v>0</v>
      </c>
      <c r="I26" s="13">
        <f t="shared" si="26"/>
        <v>1693.1200000000001</v>
      </c>
      <c r="J26" s="14">
        <f t="shared" si="19"/>
        <v>1693.1200000000001</v>
      </c>
      <c r="M26" s="264"/>
      <c r="N26" s="264"/>
      <c r="V26" s="74">
        <v>52</v>
      </c>
      <c r="W26" s="74" t="s">
        <v>59</v>
      </c>
      <c r="X26" s="13">
        <v>0</v>
      </c>
      <c r="Y26" s="13">
        <v>40.68</v>
      </c>
      <c r="Z26" s="13">
        <f t="shared" si="27"/>
        <v>40.68</v>
      </c>
      <c r="AB26" s="74">
        <v>52</v>
      </c>
      <c r="AC26" s="74" t="s">
        <v>59</v>
      </c>
      <c r="AD26" s="13">
        <v>0</v>
      </c>
      <c r="AE26" s="13">
        <v>52.4</v>
      </c>
      <c r="AF26" s="13">
        <f t="shared" si="28"/>
        <v>52.4</v>
      </c>
      <c r="AH26" s="89">
        <f t="shared" si="4"/>
        <v>0</v>
      </c>
      <c r="AI26" s="89">
        <f t="shared" si="20"/>
        <v>-0.37862595419847322</v>
      </c>
      <c r="AJ26" s="89">
        <f t="shared" si="21"/>
        <v>-0.37862595419847322</v>
      </c>
    </row>
    <row r="27" spans="1:36" ht="15" customHeight="1" x14ac:dyDescent="0.3">
      <c r="A27" s="10" t="s">
        <v>73</v>
      </c>
      <c r="B27" s="11" t="s">
        <v>74</v>
      </c>
      <c r="C27" s="12">
        <f t="shared" si="23"/>
        <v>137</v>
      </c>
      <c r="D27" s="41" t="str">
        <f t="shared" si="24"/>
        <v>m</v>
      </c>
      <c r="E27" s="41">
        <f>ROUND((X27*(1-$M$5))*(1+BDI!$C$21),2)</f>
        <v>0</v>
      </c>
      <c r="F27" s="41">
        <f>ROUND((Y27*(1-$N$5))*(1+BDI!$C$21),2)</f>
        <v>15.21</v>
      </c>
      <c r="G27" s="41">
        <f t="shared" si="16"/>
        <v>15.21</v>
      </c>
      <c r="H27" s="13">
        <f t="shared" si="25"/>
        <v>0</v>
      </c>
      <c r="I27" s="13">
        <f t="shared" si="26"/>
        <v>2083.77</v>
      </c>
      <c r="J27" s="14">
        <f t="shared" si="19"/>
        <v>2083.77</v>
      </c>
      <c r="M27" s="264"/>
      <c r="N27" s="264"/>
      <c r="V27" s="74">
        <v>137</v>
      </c>
      <c r="W27" s="74" t="s">
        <v>75</v>
      </c>
      <c r="X27" s="13">
        <v>0</v>
      </c>
      <c r="Y27" s="13">
        <v>19</v>
      </c>
      <c r="Z27" s="13">
        <f t="shared" si="27"/>
        <v>19</v>
      </c>
      <c r="AB27" s="74">
        <v>137</v>
      </c>
      <c r="AC27" s="74" t="s">
        <v>75</v>
      </c>
      <c r="AD27" s="13">
        <v>0</v>
      </c>
      <c r="AE27" s="13">
        <v>24.48</v>
      </c>
      <c r="AF27" s="13">
        <f t="shared" si="28"/>
        <v>24.48</v>
      </c>
      <c r="AH27" s="89">
        <f t="shared" si="4"/>
        <v>0</v>
      </c>
      <c r="AI27" s="89">
        <f t="shared" si="20"/>
        <v>-0.37867647058823528</v>
      </c>
      <c r="AJ27" s="89">
        <f t="shared" si="21"/>
        <v>-0.37867647058823528</v>
      </c>
    </row>
    <row r="28" spans="1:36" ht="15" customHeight="1" x14ac:dyDescent="0.3">
      <c r="A28" s="10" t="s">
        <v>76</v>
      </c>
      <c r="B28" s="11" t="s">
        <v>77</v>
      </c>
      <c r="C28" s="12">
        <f t="shared" si="23"/>
        <v>564</v>
      </c>
      <c r="D28" s="41" t="str">
        <f t="shared" si="24"/>
        <v>m²</v>
      </c>
      <c r="E28" s="41">
        <f>ROUND((X28*(1-$M$5))*(1+BDI!$C$21),2)</f>
        <v>10.11</v>
      </c>
      <c r="F28" s="41">
        <f>ROUND((Y28*(1-$N$5))*(1+BDI!$C$21),2)</f>
        <v>24.78</v>
      </c>
      <c r="G28" s="41">
        <f t="shared" si="16"/>
        <v>34.89</v>
      </c>
      <c r="H28" s="13">
        <f t="shared" si="25"/>
        <v>5702.04</v>
      </c>
      <c r="I28" s="13">
        <f t="shared" si="26"/>
        <v>13975.92</v>
      </c>
      <c r="J28" s="14">
        <f t="shared" si="19"/>
        <v>19677.96</v>
      </c>
      <c r="M28" s="264"/>
      <c r="N28" s="264"/>
      <c r="V28" s="74">
        <v>564</v>
      </c>
      <c r="W28" s="74" t="s">
        <v>59</v>
      </c>
      <c r="X28" s="13">
        <v>12.63</v>
      </c>
      <c r="Y28" s="13">
        <v>30.95</v>
      </c>
      <c r="Z28" s="13">
        <f t="shared" si="27"/>
        <v>43.58</v>
      </c>
      <c r="AB28" s="74">
        <v>564</v>
      </c>
      <c r="AC28" s="74" t="s">
        <v>59</v>
      </c>
      <c r="AD28" s="13">
        <v>16.27</v>
      </c>
      <c r="AE28" s="13">
        <v>39.869999999999997</v>
      </c>
      <c r="AF28" s="13">
        <f t="shared" si="28"/>
        <v>56.14</v>
      </c>
      <c r="AH28" s="89">
        <f t="shared" si="4"/>
        <v>-0.37861094038106946</v>
      </c>
      <c r="AI28" s="89">
        <f t="shared" si="20"/>
        <v>-0.37848006019563574</v>
      </c>
      <c r="AJ28" s="89">
        <f t="shared" si="21"/>
        <v>-0.37851799073744208</v>
      </c>
    </row>
    <row r="29" spans="1:36" x14ac:dyDescent="0.3">
      <c r="A29" s="10" t="s">
        <v>78</v>
      </c>
      <c r="B29" s="11" t="s">
        <v>79</v>
      </c>
      <c r="C29" s="12">
        <f t="shared" si="23"/>
        <v>1626</v>
      </c>
      <c r="D29" s="41" t="str">
        <f t="shared" si="24"/>
        <v>m²</v>
      </c>
      <c r="E29" s="41">
        <f>ROUND((X29*(1-$M$5))*(1+BDI!$C$21),2)</f>
        <v>10.11</v>
      </c>
      <c r="F29" s="41">
        <f>ROUND((Y29*(1-$N$5))*(1+BDI!$C$21),2)</f>
        <v>12.54</v>
      </c>
      <c r="G29" s="41">
        <f t="shared" si="16"/>
        <v>22.65</v>
      </c>
      <c r="H29" s="13">
        <f t="shared" si="25"/>
        <v>16438.86</v>
      </c>
      <c r="I29" s="13">
        <f t="shared" si="26"/>
        <v>20390.039999999997</v>
      </c>
      <c r="J29" s="14">
        <f t="shared" si="19"/>
        <v>36828.899999999994</v>
      </c>
      <c r="M29" s="264"/>
      <c r="N29" s="264"/>
      <c r="V29" s="74">
        <v>1626</v>
      </c>
      <c r="W29" s="74" t="s">
        <v>59</v>
      </c>
      <c r="X29" s="13">
        <v>12.63</v>
      </c>
      <c r="Y29" s="13">
        <v>15.66</v>
      </c>
      <c r="Z29" s="13">
        <f t="shared" si="27"/>
        <v>28.29</v>
      </c>
      <c r="AB29" s="74">
        <v>1626</v>
      </c>
      <c r="AC29" s="74" t="s">
        <v>59</v>
      </c>
      <c r="AD29" s="13">
        <v>16.27</v>
      </c>
      <c r="AE29" s="13">
        <v>20.170000000000002</v>
      </c>
      <c r="AF29" s="13">
        <f t="shared" si="28"/>
        <v>36.44</v>
      </c>
      <c r="AH29" s="89">
        <f t="shared" si="4"/>
        <v>-0.37861094038106946</v>
      </c>
      <c r="AI29" s="89">
        <f t="shared" si="20"/>
        <v>-0.37828458106098173</v>
      </c>
      <c r="AJ29" s="89">
        <f t="shared" si="21"/>
        <v>-0.37843029637760706</v>
      </c>
    </row>
    <row r="30" spans="1:36" x14ac:dyDescent="0.3">
      <c r="A30" s="10" t="s">
        <v>80</v>
      </c>
      <c r="B30" s="11" t="s">
        <v>81</v>
      </c>
      <c r="C30" s="12">
        <f t="shared" si="23"/>
        <v>49</v>
      </c>
      <c r="D30" s="41" t="str">
        <f t="shared" si="24"/>
        <v>m²</v>
      </c>
      <c r="E30" s="41">
        <f>ROUND((X30*(1-$M$5))*(1+BDI!$C$21),2)</f>
        <v>7.18</v>
      </c>
      <c r="F30" s="41">
        <f>ROUND((Y30*(1-$N$5))*(1+BDI!$C$21),2)</f>
        <v>65.25</v>
      </c>
      <c r="G30" s="41">
        <f t="shared" si="16"/>
        <v>72.430000000000007</v>
      </c>
      <c r="H30" s="13">
        <f t="shared" si="25"/>
        <v>351.82</v>
      </c>
      <c r="I30" s="13">
        <f t="shared" si="26"/>
        <v>3197.25</v>
      </c>
      <c r="J30" s="14">
        <f t="shared" si="19"/>
        <v>3549.07</v>
      </c>
      <c r="M30" s="264"/>
      <c r="N30" s="264"/>
      <c r="V30" s="74">
        <v>49</v>
      </c>
      <c r="W30" s="74" t="s">
        <v>59</v>
      </c>
      <c r="X30" s="13">
        <v>8.9700000000000006</v>
      </c>
      <c r="Y30" s="13">
        <v>81.510000000000005</v>
      </c>
      <c r="Z30" s="13">
        <f t="shared" si="27"/>
        <v>90.48</v>
      </c>
      <c r="AB30" s="74">
        <v>49</v>
      </c>
      <c r="AC30" s="74" t="s">
        <v>59</v>
      </c>
      <c r="AD30" s="13">
        <v>11.56</v>
      </c>
      <c r="AE30" s="13">
        <v>105</v>
      </c>
      <c r="AF30" s="13">
        <f t="shared" si="28"/>
        <v>116.56</v>
      </c>
      <c r="AH30" s="89">
        <f t="shared" si="4"/>
        <v>-0.37889273356401387</v>
      </c>
      <c r="AI30" s="89">
        <f t="shared" si="20"/>
        <v>-0.37857142857142856</v>
      </c>
      <c r="AJ30" s="89">
        <f t="shared" si="21"/>
        <v>-0.37860329444063134</v>
      </c>
    </row>
    <row r="31" spans="1:36" x14ac:dyDescent="0.3">
      <c r="A31" s="10" t="s">
        <v>82</v>
      </c>
      <c r="B31" s="11" t="s">
        <v>83</v>
      </c>
      <c r="C31" s="12">
        <f t="shared" si="23"/>
        <v>153</v>
      </c>
      <c r="D31" s="41" t="str">
        <f t="shared" si="24"/>
        <v>m²</v>
      </c>
      <c r="E31" s="41">
        <f>ROUND((X31*(1-$M$5))*(1+BDI!$C$21),2)</f>
        <v>0</v>
      </c>
      <c r="F31" s="41">
        <f>ROUND((Y31*(1-$N$5))*(1+BDI!$C$21),2)</f>
        <v>30.06</v>
      </c>
      <c r="G31" s="41">
        <f t="shared" si="16"/>
        <v>30.06</v>
      </c>
      <c r="H31" s="13">
        <f t="shared" si="25"/>
        <v>0</v>
      </c>
      <c r="I31" s="13">
        <f t="shared" si="26"/>
        <v>4599.1799999999994</v>
      </c>
      <c r="J31" s="14">
        <f t="shared" si="19"/>
        <v>4599.1799999999994</v>
      </c>
      <c r="M31" s="264"/>
      <c r="N31" s="264"/>
      <c r="V31" s="74">
        <v>153</v>
      </c>
      <c r="W31" s="74" t="s">
        <v>59</v>
      </c>
      <c r="X31" s="13">
        <v>0</v>
      </c>
      <c r="Y31" s="13">
        <v>37.549999999999997</v>
      </c>
      <c r="Z31" s="13">
        <f t="shared" si="27"/>
        <v>37.549999999999997</v>
      </c>
      <c r="AB31" s="74">
        <v>153</v>
      </c>
      <c r="AC31" s="74" t="s">
        <v>59</v>
      </c>
      <c r="AD31" s="13">
        <v>0</v>
      </c>
      <c r="AE31" s="13">
        <v>48.37</v>
      </c>
      <c r="AF31" s="13">
        <f t="shared" si="28"/>
        <v>48.37</v>
      </c>
      <c r="AH31" s="89">
        <f t="shared" si="4"/>
        <v>0</v>
      </c>
      <c r="AI31" s="89">
        <f t="shared" si="20"/>
        <v>-0.37854041761422363</v>
      </c>
      <c r="AJ31" s="89">
        <f t="shared" si="21"/>
        <v>-0.37854041761422363</v>
      </c>
    </row>
    <row r="32" spans="1:36" x14ac:dyDescent="0.3">
      <c r="A32" s="10" t="s">
        <v>84</v>
      </c>
      <c r="B32" s="11" t="s">
        <v>85</v>
      </c>
      <c r="C32" s="12">
        <f t="shared" si="23"/>
        <v>12</v>
      </c>
      <c r="D32" s="41" t="str">
        <f t="shared" si="24"/>
        <v>m²</v>
      </c>
      <c r="E32" s="41">
        <f>ROUND((X32*(1-$M$5))*(1+BDI!$C$21),2)</f>
        <v>1.42</v>
      </c>
      <c r="F32" s="41">
        <f>ROUND((Y32*(1-$N$5))*(1+BDI!$C$21),2)</f>
        <v>70.72</v>
      </c>
      <c r="G32" s="41">
        <f t="shared" si="16"/>
        <v>72.14</v>
      </c>
      <c r="H32" s="13">
        <f t="shared" si="25"/>
        <v>17.04</v>
      </c>
      <c r="I32" s="13">
        <f t="shared" si="26"/>
        <v>848.64</v>
      </c>
      <c r="J32" s="14">
        <f t="shared" si="19"/>
        <v>865.68000000000006</v>
      </c>
      <c r="M32" s="264"/>
      <c r="N32" s="264"/>
      <c r="V32" s="74">
        <v>12</v>
      </c>
      <c r="W32" s="74" t="s">
        <v>59</v>
      </c>
      <c r="X32" s="13">
        <v>1.77</v>
      </c>
      <c r="Y32" s="13">
        <v>88.35</v>
      </c>
      <c r="Z32" s="13">
        <f t="shared" si="27"/>
        <v>90.11999999999999</v>
      </c>
      <c r="AB32" s="74">
        <v>12</v>
      </c>
      <c r="AC32" s="74" t="s">
        <v>59</v>
      </c>
      <c r="AD32" s="13">
        <v>2.2799999999999998</v>
      </c>
      <c r="AE32" s="13">
        <v>113.81</v>
      </c>
      <c r="AF32" s="13">
        <f t="shared" si="28"/>
        <v>116.09</v>
      </c>
      <c r="AH32" s="89">
        <f t="shared" si="4"/>
        <v>-0.3771929824561403</v>
      </c>
      <c r="AI32" s="89">
        <f t="shared" si="20"/>
        <v>-0.37861347860469208</v>
      </c>
      <c r="AJ32" s="89">
        <f t="shared" si="21"/>
        <v>-0.37858558015332933</v>
      </c>
    </row>
    <row r="33" spans="1:36" x14ac:dyDescent="0.3">
      <c r="A33" s="10" t="s">
        <v>86</v>
      </c>
      <c r="B33" s="11" t="s">
        <v>87</v>
      </c>
      <c r="C33" s="12">
        <f t="shared" si="23"/>
        <v>358</v>
      </c>
      <c r="D33" s="41" t="str">
        <f t="shared" si="24"/>
        <v>m²</v>
      </c>
      <c r="E33" s="41">
        <f>ROUND((X33*(1-$M$5))*(1+BDI!$C$21),2)</f>
        <v>10.33</v>
      </c>
      <c r="F33" s="41">
        <f>ROUND((Y33*(1-$N$5))*(1+BDI!$C$21),2)</f>
        <v>16.84</v>
      </c>
      <c r="G33" s="41">
        <f t="shared" si="16"/>
        <v>27.17</v>
      </c>
      <c r="H33" s="13">
        <f t="shared" si="25"/>
        <v>3698.14</v>
      </c>
      <c r="I33" s="13">
        <f t="shared" si="26"/>
        <v>6028.72</v>
      </c>
      <c r="J33" s="14">
        <f t="shared" si="19"/>
        <v>9726.86</v>
      </c>
      <c r="M33" s="264"/>
      <c r="N33" s="264"/>
      <c r="V33" s="74">
        <v>358</v>
      </c>
      <c r="W33" s="74" t="s">
        <v>59</v>
      </c>
      <c r="X33" s="13">
        <v>12.9</v>
      </c>
      <c r="Y33" s="13">
        <v>21.04</v>
      </c>
      <c r="Z33" s="13">
        <f t="shared" si="27"/>
        <v>33.94</v>
      </c>
      <c r="AB33" s="74">
        <v>358</v>
      </c>
      <c r="AC33" s="74" t="s">
        <v>59</v>
      </c>
      <c r="AD33" s="13">
        <v>16.62</v>
      </c>
      <c r="AE33" s="13">
        <v>27.1</v>
      </c>
      <c r="AF33" s="13">
        <f t="shared" si="28"/>
        <v>43.72</v>
      </c>
      <c r="AH33" s="89">
        <f t="shared" si="4"/>
        <v>-0.37845968712394706</v>
      </c>
      <c r="AI33" s="89">
        <f t="shared" si="20"/>
        <v>-0.37859778597785987</v>
      </c>
      <c r="AJ33" s="89">
        <f t="shared" si="21"/>
        <v>-0.37854528819762112</v>
      </c>
    </row>
    <row r="34" spans="1:36" ht="43.2" x14ac:dyDescent="0.3">
      <c r="A34" s="10" t="s">
        <v>88</v>
      </c>
      <c r="B34" s="11" t="s">
        <v>89</v>
      </c>
      <c r="C34" s="12">
        <f t="shared" si="23"/>
        <v>694</v>
      </c>
      <c r="D34" s="41" t="str">
        <f t="shared" si="24"/>
        <v>m³</v>
      </c>
      <c r="E34" s="41">
        <f>ROUND((X34*(1-$M$5))*(1+BDI!$C$21),2)</f>
        <v>50.35</v>
      </c>
      <c r="F34" s="41">
        <f>ROUND((Y34*(1-$N$5))*(1+BDI!$C$21),2)</f>
        <v>14.8</v>
      </c>
      <c r="G34" s="41">
        <f t="shared" si="16"/>
        <v>65.150000000000006</v>
      </c>
      <c r="H34" s="13">
        <f t="shared" si="25"/>
        <v>34942.9</v>
      </c>
      <c r="I34" s="13">
        <f t="shared" si="26"/>
        <v>10271.200000000001</v>
      </c>
      <c r="J34" s="14">
        <f t="shared" si="19"/>
        <v>45214.100000000006</v>
      </c>
      <c r="M34" s="264"/>
      <c r="N34" s="264"/>
      <c r="V34" s="74">
        <v>694</v>
      </c>
      <c r="W34" s="74" t="s">
        <v>51</v>
      </c>
      <c r="X34" s="13">
        <v>62.9</v>
      </c>
      <c r="Y34" s="13">
        <v>18.489999999999998</v>
      </c>
      <c r="Z34" s="13">
        <f t="shared" si="27"/>
        <v>81.39</v>
      </c>
      <c r="AB34" s="74">
        <v>694</v>
      </c>
      <c r="AC34" s="74" t="s">
        <v>51</v>
      </c>
      <c r="AD34" s="13">
        <v>81.03</v>
      </c>
      <c r="AE34" s="13">
        <v>23.82</v>
      </c>
      <c r="AF34" s="13">
        <f t="shared" si="28"/>
        <v>104.85</v>
      </c>
      <c r="AH34" s="89">
        <f t="shared" si="4"/>
        <v>-0.37862520054300874</v>
      </c>
      <c r="AI34" s="89">
        <f t="shared" si="20"/>
        <v>-0.3786733837111671</v>
      </c>
      <c r="AJ34" s="89">
        <f t="shared" si="21"/>
        <v>-0.37863614687649016</v>
      </c>
    </row>
    <row r="35" spans="1:36" x14ac:dyDescent="0.3">
      <c r="A35" s="10" t="s">
        <v>90</v>
      </c>
      <c r="B35" s="11" t="s">
        <v>91</v>
      </c>
      <c r="C35" s="12">
        <f t="shared" si="23"/>
        <v>150</v>
      </c>
      <c r="D35" s="41" t="str">
        <f t="shared" si="24"/>
        <v xml:space="preserve">un </v>
      </c>
      <c r="E35" s="41">
        <f>ROUND((X35*(1-$M$5))*(1+BDI!$C$21),2)</f>
        <v>3.14</v>
      </c>
      <c r="F35" s="41">
        <f>ROUND((Y35*(1-$N$5))*(1+BDI!$C$21),2)</f>
        <v>45.55</v>
      </c>
      <c r="G35" s="41">
        <f t="shared" si="16"/>
        <v>48.69</v>
      </c>
      <c r="H35" s="13">
        <f t="shared" si="25"/>
        <v>471</v>
      </c>
      <c r="I35" s="13">
        <f t="shared" si="26"/>
        <v>6832.5</v>
      </c>
      <c r="J35" s="14">
        <f t="shared" si="19"/>
        <v>7303.5</v>
      </c>
      <c r="M35" s="264"/>
      <c r="N35" s="264"/>
      <c r="V35" s="74">
        <v>150</v>
      </c>
      <c r="W35" s="74" t="s">
        <v>30</v>
      </c>
      <c r="X35" s="13">
        <v>3.92</v>
      </c>
      <c r="Y35" s="13">
        <v>56.9</v>
      </c>
      <c r="Z35" s="13">
        <f t="shared" si="27"/>
        <v>60.82</v>
      </c>
      <c r="AB35" s="74">
        <v>150</v>
      </c>
      <c r="AC35" s="74" t="s">
        <v>30</v>
      </c>
      <c r="AD35" s="13">
        <v>5.05</v>
      </c>
      <c r="AE35" s="13">
        <v>73.3</v>
      </c>
      <c r="AF35" s="13">
        <f t="shared" si="28"/>
        <v>78.349999999999994</v>
      </c>
      <c r="AH35" s="89">
        <f t="shared" si="4"/>
        <v>-0.37821782178217822</v>
      </c>
      <c r="AI35" s="89">
        <f t="shared" si="20"/>
        <v>-0.37858117326057306</v>
      </c>
      <c r="AJ35" s="89">
        <f t="shared" si="21"/>
        <v>-0.37855775366943201</v>
      </c>
    </row>
    <row r="36" spans="1:36" x14ac:dyDescent="0.3">
      <c r="A36" s="10" t="s">
        <v>92</v>
      </c>
      <c r="B36" s="11" t="s">
        <v>93</v>
      </c>
      <c r="C36" s="12">
        <f t="shared" si="23"/>
        <v>202</v>
      </c>
      <c r="D36" s="41" t="str">
        <f t="shared" si="24"/>
        <v>m²/mês</v>
      </c>
      <c r="E36" s="41">
        <f>ROUND((X36*(1-$M$5))*(1+BDI!$C$21),2)</f>
        <v>17.309999999999999</v>
      </c>
      <c r="F36" s="41">
        <f>ROUND((Y36*(1-$N$5))*(1+BDI!$C$21),2)</f>
        <v>7.34</v>
      </c>
      <c r="G36" s="41">
        <f t="shared" si="16"/>
        <v>24.65</v>
      </c>
      <c r="H36" s="13">
        <f t="shared" si="25"/>
        <v>3496.62</v>
      </c>
      <c r="I36" s="13">
        <f t="shared" si="26"/>
        <v>1482.68</v>
      </c>
      <c r="J36" s="14">
        <f t="shared" si="19"/>
        <v>4979.2999999999993</v>
      </c>
      <c r="M36" s="264"/>
      <c r="N36" s="264"/>
      <c r="V36" s="74">
        <v>202</v>
      </c>
      <c r="W36" s="74" t="s">
        <v>94</v>
      </c>
      <c r="X36" s="13">
        <v>21.63</v>
      </c>
      <c r="Y36" s="13">
        <v>9.17</v>
      </c>
      <c r="Z36" s="13">
        <f t="shared" si="27"/>
        <v>30.799999999999997</v>
      </c>
      <c r="AB36" s="74">
        <v>202</v>
      </c>
      <c r="AC36" s="74" t="s">
        <v>94</v>
      </c>
      <c r="AD36" s="13">
        <v>27.86</v>
      </c>
      <c r="AE36" s="13">
        <v>11.81</v>
      </c>
      <c r="AF36" s="13">
        <f t="shared" si="28"/>
        <v>39.67</v>
      </c>
      <c r="AH36" s="89">
        <f t="shared" si="4"/>
        <v>-0.37867910983488873</v>
      </c>
      <c r="AI36" s="89">
        <f t="shared" si="20"/>
        <v>-0.3784928027095682</v>
      </c>
      <c r="AJ36" s="89">
        <f t="shared" si="21"/>
        <v>-0.37862364507184276</v>
      </c>
    </row>
    <row r="37" spans="1:36" x14ac:dyDescent="0.3">
      <c r="A37" s="10" t="s">
        <v>95</v>
      </c>
      <c r="B37" s="11" t="s">
        <v>96</v>
      </c>
      <c r="C37" s="12">
        <f t="shared" si="23"/>
        <v>638</v>
      </c>
      <c r="D37" s="41" t="str">
        <f t="shared" si="24"/>
        <v>m/mês</v>
      </c>
      <c r="E37" s="41">
        <f>ROUND((X37*(1-$M$5))*(1+BDI!$C$21),2)</f>
        <v>23.09</v>
      </c>
      <c r="F37" s="41">
        <f>ROUND((Y37*(1-$N$5))*(1+BDI!$C$21),2)</f>
        <v>12.44</v>
      </c>
      <c r="G37" s="41">
        <f t="shared" si="16"/>
        <v>35.53</v>
      </c>
      <c r="H37" s="13">
        <f t="shared" si="25"/>
        <v>14731.42</v>
      </c>
      <c r="I37" s="13">
        <f t="shared" si="26"/>
        <v>7936.7199999999993</v>
      </c>
      <c r="J37" s="14">
        <f t="shared" si="19"/>
        <v>22668.14</v>
      </c>
      <c r="M37" s="264"/>
      <c r="N37" s="264"/>
      <c r="V37" s="74">
        <v>638</v>
      </c>
      <c r="W37" s="74" t="s">
        <v>97</v>
      </c>
      <c r="X37" s="13">
        <v>28.84</v>
      </c>
      <c r="Y37" s="13">
        <v>15.54</v>
      </c>
      <c r="Z37" s="13">
        <f t="shared" si="27"/>
        <v>44.379999999999995</v>
      </c>
      <c r="AB37" s="74">
        <v>638</v>
      </c>
      <c r="AC37" s="74" t="s">
        <v>97</v>
      </c>
      <c r="AD37" s="13">
        <v>37.15</v>
      </c>
      <c r="AE37" s="13">
        <v>20.02</v>
      </c>
      <c r="AF37" s="13">
        <f t="shared" si="28"/>
        <v>57.17</v>
      </c>
      <c r="AH37" s="89">
        <f t="shared" si="4"/>
        <v>-0.37846567967698519</v>
      </c>
      <c r="AI37" s="89">
        <f t="shared" si="20"/>
        <v>-0.37862137862137868</v>
      </c>
      <c r="AJ37" s="89">
        <f t="shared" si="21"/>
        <v>-0.37852020290362076</v>
      </c>
    </row>
    <row r="38" spans="1:36" x14ac:dyDescent="0.3">
      <c r="A38" s="10" t="s">
        <v>98</v>
      </c>
      <c r="B38" s="11" t="s">
        <v>99</v>
      </c>
      <c r="C38" s="12">
        <f t="shared" si="23"/>
        <v>374</v>
      </c>
      <c r="D38" s="41" t="str">
        <f t="shared" si="24"/>
        <v>m²</v>
      </c>
      <c r="E38" s="41">
        <f>ROUND((X38*(1-$M$5))*(1+BDI!$C$21),2)</f>
        <v>37.520000000000003</v>
      </c>
      <c r="F38" s="41">
        <f>ROUND((Y38*(1-$N$5))*(1+BDI!$C$21),2)</f>
        <v>46.85</v>
      </c>
      <c r="G38" s="41">
        <f t="shared" si="16"/>
        <v>84.37</v>
      </c>
      <c r="H38" s="13">
        <f t="shared" si="25"/>
        <v>14032.480000000001</v>
      </c>
      <c r="I38" s="13">
        <f t="shared" si="26"/>
        <v>17521.900000000001</v>
      </c>
      <c r="J38" s="14">
        <f t="shared" si="19"/>
        <v>31554.38</v>
      </c>
      <c r="M38" s="54"/>
      <c r="N38" s="56"/>
      <c r="V38" s="74">
        <v>374</v>
      </c>
      <c r="W38" s="74" t="s">
        <v>59</v>
      </c>
      <c r="X38" s="13">
        <v>46.87</v>
      </c>
      <c r="Y38" s="13">
        <v>58.53</v>
      </c>
      <c r="Z38" s="13">
        <f t="shared" si="27"/>
        <v>105.4</v>
      </c>
      <c r="AB38" s="74">
        <v>374</v>
      </c>
      <c r="AC38" s="74" t="s">
        <v>59</v>
      </c>
      <c r="AD38" s="13">
        <v>60.38</v>
      </c>
      <c r="AE38" s="13">
        <v>75.400000000000006</v>
      </c>
      <c r="AF38" s="13">
        <f t="shared" si="28"/>
        <v>135.78</v>
      </c>
      <c r="AH38" s="89">
        <f t="shared" si="4"/>
        <v>-0.3786021861543557</v>
      </c>
      <c r="AI38" s="89">
        <f t="shared" si="20"/>
        <v>-0.37864721485411146</v>
      </c>
      <c r="AJ38" s="89">
        <f t="shared" si="21"/>
        <v>-0.3786271910443364</v>
      </c>
    </row>
    <row r="39" spans="1:36" x14ac:dyDescent="0.3">
      <c r="A39" s="10" t="s">
        <v>100</v>
      </c>
      <c r="B39" s="11" t="s">
        <v>101</v>
      </c>
      <c r="C39" s="12">
        <f t="shared" si="23"/>
        <v>33</v>
      </c>
      <c r="D39" s="41" t="str">
        <f t="shared" si="24"/>
        <v>m²</v>
      </c>
      <c r="E39" s="41">
        <f>ROUND((X39*(1-$M$5))*(1+BDI!$C$21),2)</f>
        <v>0</v>
      </c>
      <c r="F39" s="41">
        <f>ROUND((Y39*(1-$N$5))*(1+BDI!$C$21),2)</f>
        <v>21.21</v>
      </c>
      <c r="G39" s="41">
        <f t="shared" si="16"/>
        <v>21.21</v>
      </c>
      <c r="H39" s="13">
        <f t="shared" si="25"/>
        <v>0</v>
      </c>
      <c r="I39" s="13">
        <f t="shared" si="26"/>
        <v>699.93000000000006</v>
      </c>
      <c r="J39" s="14">
        <f t="shared" si="19"/>
        <v>699.93000000000006</v>
      </c>
      <c r="M39" s="54"/>
      <c r="N39" s="56"/>
      <c r="V39" s="74">
        <v>33</v>
      </c>
      <c r="W39" s="74" t="s">
        <v>59</v>
      </c>
      <c r="X39" s="13">
        <v>0</v>
      </c>
      <c r="Y39" s="13">
        <v>26.5</v>
      </c>
      <c r="Z39" s="13">
        <f t="shared" si="27"/>
        <v>26.5</v>
      </c>
      <c r="AB39" s="74">
        <v>33</v>
      </c>
      <c r="AC39" s="74" t="s">
        <v>59</v>
      </c>
      <c r="AD39" s="13">
        <v>0</v>
      </c>
      <c r="AE39" s="13">
        <v>34.14</v>
      </c>
      <c r="AF39" s="13">
        <f t="shared" si="28"/>
        <v>34.14</v>
      </c>
      <c r="AH39" s="89">
        <f t="shared" si="4"/>
        <v>0</v>
      </c>
      <c r="AI39" s="89">
        <f t="shared" si="20"/>
        <v>-0.37873462214411246</v>
      </c>
      <c r="AJ39" s="89">
        <f t="shared" si="21"/>
        <v>-0.37873462214411246</v>
      </c>
    </row>
    <row r="40" spans="1:36" x14ac:dyDescent="0.3">
      <c r="A40" s="10" t="s">
        <v>102</v>
      </c>
      <c r="B40" s="11" t="s">
        <v>103</v>
      </c>
      <c r="C40" s="12">
        <f t="shared" si="23"/>
        <v>3</v>
      </c>
      <c r="D40" s="41" t="str">
        <f t="shared" si="24"/>
        <v>mês</v>
      </c>
      <c r="E40" s="41">
        <f>ROUND((X40*(1-$M$5))*(1+BDI!$C$21),2)</f>
        <v>644.39</v>
      </c>
      <c r="F40" s="41">
        <f>ROUND((Y40*(1-$N$5))*(1+BDI!$C$21),2)</f>
        <v>20.9</v>
      </c>
      <c r="G40" s="41">
        <f t="shared" ref="G40:G47" si="29">F40+E40</f>
        <v>665.29</v>
      </c>
      <c r="H40" s="13">
        <f t="shared" ref="H40:H47" si="30">C40*E40</f>
        <v>1933.17</v>
      </c>
      <c r="I40" s="13">
        <f t="shared" ref="I40:I47" si="31">C40*F40</f>
        <v>62.699999999999996</v>
      </c>
      <c r="J40" s="14">
        <f t="shared" ref="J40:J47" si="32">SUM(E40:F40)*C40</f>
        <v>1995.87</v>
      </c>
      <c r="M40" s="54"/>
      <c r="N40" s="56"/>
      <c r="V40" s="74">
        <v>3</v>
      </c>
      <c r="W40" s="74" t="s">
        <v>104</v>
      </c>
      <c r="X40" s="13">
        <v>805</v>
      </c>
      <c r="Y40" s="13">
        <v>26.11</v>
      </c>
      <c r="Z40" s="13">
        <f t="shared" ref="Z40:Z47" si="33">SUM(X40:Y40)</f>
        <v>831.11</v>
      </c>
      <c r="AB40" s="74">
        <v>3</v>
      </c>
      <c r="AC40" s="74" t="s">
        <v>104</v>
      </c>
      <c r="AD40" s="13">
        <v>1037</v>
      </c>
      <c r="AE40" s="13">
        <v>33.630000000000003</v>
      </c>
      <c r="AF40" s="13">
        <f t="shared" ref="AF40:AF42" si="34">SUM(AD40:AE40)</f>
        <v>1070.6300000000001</v>
      </c>
      <c r="AH40" s="89">
        <f t="shared" si="4"/>
        <v>-0.37860173577627776</v>
      </c>
      <c r="AI40" s="89">
        <f t="shared" si="20"/>
        <v>-0.37853107344632775</v>
      </c>
      <c r="AJ40" s="89">
        <f t="shared" si="21"/>
        <v>-0.37859951617272081</v>
      </c>
    </row>
    <row r="41" spans="1:36" x14ac:dyDescent="0.3">
      <c r="A41" s="10" t="s">
        <v>105</v>
      </c>
      <c r="B41" s="11" t="s">
        <v>106</v>
      </c>
      <c r="C41" s="12">
        <f t="shared" si="23"/>
        <v>29</v>
      </c>
      <c r="D41" s="41" t="str">
        <f t="shared" si="24"/>
        <v>m²</v>
      </c>
      <c r="E41" s="41">
        <f>ROUND((X41*(1-$M$5))*(1+BDI!$C$21),2)</f>
        <v>76.47</v>
      </c>
      <c r="F41" s="41">
        <f>ROUND((Y41*(1-$N$5))*(1+BDI!$C$21),2)</f>
        <v>61.05</v>
      </c>
      <c r="G41" s="41">
        <f t="shared" si="29"/>
        <v>137.51999999999998</v>
      </c>
      <c r="H41" s="13">
        <f t="shared" si="30"/>
        <v>2217.63</v>
      </c>
      <c r="I41" s="13">
        <f t="shared" si="31"/>
        <v>1770.4499999999998</v>
      </c>
      <c r="J41" s="14">
        <f t="shared" si="32"/>
        <v>3988.0799999999995</v>
      </c>
      <c r="M41" s="54"/>
      <c r="N41" s="56"/>
      <c r="V41" s="74">
        <v>29</v>
      </c>
      <c r="W41" s="74" t="s">
        <v>59</v>
      </c>
      <c r="X41" s="13">
        <v>95.53</v>
      </c>
      <c r="Y41" s="13">
        <v>76.27</v>
      </c>
      <c r="Z41" s="13">
        <f t="shared" si="33"/>
        <v>171.8</v>
      </c>
      <c r="AB41" s="74">
        <v>29</v>
      </c>
      <c r="AC41" s="74" t="s">
        <v>59</v>
      </c>
      <c r="AD41" s="13">
        <v>123.06</v>
      </c>
      <c r="AE41" s="13">
        <v>98.25</v>
      </c>
      <c r="AF41" s="13">
        <f t="shared" si="34"/>
        <v>221.31</v>
      </c>
      <c r="AH41" s="89">
        <f t="shared" si="4"/>
        <v>-0.37859580692345196</v>
      </c>
      <c r="AI41" s="89">
        <f t="shared" si="20"/>
        <v>-0.37862595419847334</v>
      </c>
      <c r="AJ41" s="89">
        <f t="shared" si="21"/>
        <v>-0.37860919072793831</v>
      </c>
    </row>
    <row r="42" spans="1:36" x14ac:dyDescent="0.3">
      <c r="A42" s="10" t="s">
        <v>107</v>
      </c>
      <c r="B42" s="11" t="s">
        <v>108</v>
      </c>
      <c r="C42" s="12">
        <f t="shared" ref="C42:C46" si="35">V42</f>
        <v>13</v>
      </c>
      <c r="D42" s="41" t="str">
        <f t="shared" ref="D42:D46" si="36">W42</f>
        <v>un</v>
      </c>
      <c r="E42" s="41">
        <f>ROUND((X42*(1-$M$5))*(1+BDI!$C$21),2)</f>
        <v>0</v>
      </c>
      <c r="F42" s="41">
        <f>ROUND((Y42*(1-$N$5))*(1+BDI!$C$21),2)</f>
        <v>144.62</v>
      </c>
      <c r="G42" s="41">
        <f t="shared" ref="G42:G46" si="37">F42+E42</f>
        <v>144.62</v>
      </c>
      <c r="H42" s="13">
        <f t="shared" ref="H42:H46" si="38">C42*E42</f>
        <v>0</v>
      </c>
      <c r="I42" s="13">
        <f t="shared" ref="I42:I46" si="39">C42*F42</f>
        <v>1880.06</v>
      </c>
      <c r="J42" s="14">
        <f t="shared" ref="J42:J46" si="40">SUM(E42:F42)*C42</f>
        <v>1880.06</v>
      </c>
      <c r="M42" s="54"/>
      <c r="N42" s="56"/>
      <c r="V42" s="74">
        <v>13</v>
      </c>
      <c r="W42" s="74" t="s">
        <v>109</v>
      </c>
      <c r="X42" s="13">
        <v>0</v>
      </c>
      <c r="Y42" s="13">
        <v>180.66</v>
      </c>
      <c r="Z42" s="13">
        <f t="shared" ref="Z42" si="41">SUM(X42:Y42)</f>
        <v>180.66</v>
      </c>
      <c r="AB42" s="74">
        <v>13</v>
      </c>
      <c r="AC42" s="74" t="s">
        <v>109</v>
      </c>
      <c r="AD42" s="13">
        <v>0</v>
      </c>
      <c r="AE42" s="13">
        <v>232.73</v>
      </c>
      <c r="AF42" s="13">
        <f t="shared" si="34"/>
        <v>232.73</v>
      </c>
      <c r="AH42" s="89">
        <f t="shared" si="4"/>
        <v>0</v>
      </c>
      <c r="AI42" s="89">
        <f t="shared" si="20"/>
        <v>-0.37859321961070769</v>
      </c>
      <c r="AJ42" s="89">
        <f t="shared" si="21"/>
        <v>-0.37859321961070769</v>
      </c>
    </row>
    <row r="43" spans="1:36" x14ac:dyDescent="0.3">
      <c r="A43" s="10" t="s">
        <v>110</v>
      </c>
      <c r="B43" s="11" t="s">
        <v>111</v>
      </c>
      <c r="C43" s="12">
        <f t="shared" si="35"/>
        <v>1</v>
      </c>
      <c r="D43" s="41" t="str">
        <f t="shared" si="36"/>
        <v>m</v>
      </c>
      <c r="E43" s="41">
        <f>ROUND((X43*(1-$M$5))*(1+BDI!$C$21),2)</f>
        <v>6.32</v>
      </c>
      <c r="F43" s="41">
        <f>ROUND((Y43*(1-$N$5))*(1+BDI!$C$21),2)</f>
        <v>9.33</v>
      </c>
      <c r="G43" s="41">
        <f t="shared" si="37"/>
        <v>15.65</v>
      </c>
      <c r="H43" s="13">
        <f t="shared" si="38"/>
        <v>6.32</v>
      </c>
      <c r="I43" s="13">
        <f t="shared" si="39"/>
        <v>9.33</v>
      </c>
      <c r="J43" s="14">
        <f t="shared" si="40"/>
        <v>15.65</v>
      </c>
      <c r="M43" s="54"/>
      <c r="N43" s="56"/>
      <c r="V43" s="74">
        <v>1</v>
      </c>
      <c r="W43" s="74" t="s">
        <v>75</v>
      </c>
      <c r="X43" s="13">
        <v>7.9</v>
      </c>
      <c r="Y43" s="13">
        <v>11.65</v>
      </c>
      <c r="Z43" s="13">
        <f t="shared" ref="Z43:Z46" si="42">SUM(X43:Y43)</f>
        <v>19.55</v>
      </c>
      <c r="AB43" s="74">
        <v>1</v>
      </c>
      <c r="AC43" s="74" t="s">
        <v>75</v>
      </c>
      <c r="AD43" s="13">
        <v>10.18</v>
      </c>
      <c r="AE43" s="13">
        <v>15.01</v>
      </c>
      <c r="AF43" s="13">
        <f t="shared" ref="AF43:AF46" si="43">SUM(AD43:AE43)</f>
        <v>25.189999999999998</v>
      </c>
      <c r="AH43" s="89">
        <f t="shared" si="4"/>
        <v>-0.37917485265225925</v>
      </c>
      <c r="AI43" s="89">
        <f t="shared" si="20"/>
        <v>-0.37841439040639568</v>
      </c>
      <c r="AJ43" s="89">
        <f t="shared" si="21"/>
        <v>-0.3787217149662564</v>
      </c>
    </row>
    <row r="44" spans="1:36" x14ac:dyDescent="0.3">
      <c r="A44" s="10" t="s">
        <v>112</v>
      </c>
      <c r="B44" s="11" t="s">
        <v>113</v>
      </c>
      <c r="C44" s="12">
        <f t="shared" si="35"/>
        <v>6</v>
      </c>
      <c r="D44" s="41" t="str">
        <f t="shared" si="36"/>
        <v xml:space="preserve">un </v>
      </c>
      <c r="E44" s="41">
        <f>ROUND((X44*(1-$M$5))*(1+BDI!$C$21),2)</f>
        <v>10.199999999999999</v>
      </c>
      <c r="F44" s="41">
        <f>ROUND((Y44*(1-$N$5))*(1+BDI!$C$21),2)</f>
        <v>21.15</v>
      </c>
      <c r="G44" s="41">
        <f t="shared" si="37"/>
        <v>31.349999999999998</v>
      </c>
      <c r="H44" s="13">
        <f t="shared" si="38"/>
        <v>61.199999999999996</v>
      </c>
      <c r="I44" s="13">
        <f t="shared" si="39"/>
        <v>126.89999999999999</v>
      </c>
      <c r="J44" s="14">
        <f t="shared" si="40"/>
        <v>188.1</v>
      </c>
      <c r="M44" s="54"/>
      <c r="N44" s="56"/>
      <c r="V44" s="74">
        <v>6</v>
      </c>
      <c r="W44" s="74" t="s">
        <v>30</v>
      </c>
      <c r="X44" s="13">
        <v>12.74</v>
      </c>
      <c r="Y44" s="13">
        <v>26.42</v>
      </c>
      <c r="Z44" s="13">
        <f t="shared" si="42"/>
        <v>39.160000000000004</v>
      </c>
      <c r="AB44" s="74">
        <v>6</v>
      </c>
      <c r="AC44" s="74" t="s">
        <v>30</v>
      </c>
      <c r="AD44" s="13">
        <v>16.41</v>
      </c>
      <c r="AE44" s="13">
        <v>34.03</v>
      </c>
      <c r="AF44" s="13">
        <f t="shared" si="43"/>
        <v>50.44</v>
      </c>
      <c r="AH44" s="89">
        <f t="shared" si="4"/>
        <v>-0.37842778793418652</v>
      </c>
      <c r="AI44" s="89">
        <f t="shared" si="20"/>
        <v>-0.37848956802821043</v>
      </c>
      <c r="AJ44" s="89">
        <f t="shared" si="21"/>
        <v>-0.37846946867565423</v>
      </c>
    </row>
    <row r="45" spans="1:36" x14ac:dyDescent="0.3">
      <c r="A45" s="10" t="s">
        <v>114</v>
      </c>
      <c r="B45" s="11" t="s">
        <v>115</v>
      </c>
      <c r="C45" s="12">
        <f t="shared" si="35"/>
        <v>1</v>
      </c>
      <c r="D45" s="41" t="str">
        <f t="shared" si="36"/>
        <v>m²</v>
      </c>
      <c r="E45" s="41">
        <f>ROUND((X45*(1-$M$5))*(1+BDI!$C$21),2)</f>
        <v>0.34</v>
      </c>
      <c r="F45" s="41">
        <f>ROUND((Y45*(1-$N$5))*(1+BDI!$C$21),2)</f>
        <v>6.88</v>
      </c>
      <c r="G45" s="41">
        <f t="shared" si="37"/>
        <v>7.22</v>
      </c>
      <c r="H45" s="13">
        <f t="shared" si="38"/>
        <v>0.34</v>
      </c>
      <c r="I45" s="13">
        <f t="shared" si="39"/>
        <v>6.88</v>
      </c>
      <c r="J45" s="14">
        <f t="shared" si="40"/>
        <v>7.22</v>
      </c>
      <c r="M45" s="54"/>
      <c r="N45" s="56"/>
      <c r="V45" s="74">
        <v>1</v>
      </c>
      <c r="W45" s="74" t="s">
        <v>59</v>
      </c>
      <c r="X45" s="13">
        <v>0.42</v>
      </c>
      <c r="Y45" s="13">
        <v>8.59</v>
      </c>
      <c r="Z45" s="13">
        <f t="shared" si="42"/>
        <v>9.01</v>
      </c>
      <c r="AB45" s="74">
        <v>1</v>
      </c>
      <c r="AC45" s="74" t="s">
        <v>59</v>
      </c>
      <c r="AD45" s="13">
        <v>0.54</v>
      </c>
      <c r="AE45" s="13">
        <v>11.07</v>
      </c>
      <c r="AF45" s="13">
        <f t="shared" si="43"/>
        <v>11.61</v>
      </c>
      <c r="AH45" s="89">
        <f t="shared" si="4"/>
        <v>-0.37037037037037035</v>
      </c>
      <c r="AI45" s="89">
        <f t="shared" si="20"/>
        <v>-0.3785004516711834</v>
      </c>
      <c r="AJ45" s="89">
        <f t="shared" si="21"/>
        <v>-0.37812230835486649</v>
      </c>
    </row>
    <row r="46" spans="1:36" x14ac:dyDescent="0.3">
      <c r="A46" s="10" t="s">
        <v>116</v>
      </c>
      <c r="B46" s="11" t="s">
        <v>117</v>
      </c>
      <c r="C46" s="12">
        <f t="shared" si="35"/>
        <v>1</v>
      </c>
      <c r="D46" s="41" t="str">
        <f t="shared" si="36"/>
        <v>m²</v>
      </c>
      <c r="E46" s="41">
        <f>ROUND((X46*(1-$M$5))*(1+BDI!$C$21),2)</f>
        <v>0</v>
      </c>
      <c r="F46" s="41">
        <f>ROUND((Y46*(1-$N$5))*(1+BDI!$C$21),2)</f>
        <v>2.54</v>
      </c>
      <c r="G46" s="41">
        <f t="shared" si="37"/>
        <v>2.54</v>
      </c>
      <c r="H46" s="13">
        <f t="shared" si="38"/>
        <v>0</v>
      </c>
      <c r="I46" s="13">
        <f t="shared" si="39"/>
        <v>2.54</v>
      </c>
      <c r="J46" s="14">
        <f t="shared" si="40"/>
        <v>2.54</v>
      </c>
      <c r="M46" s="54"/>
      <c r="N46" s="56"/>
      <c r="V46" s="74">
        <v>1</v>
      </c>
      <c r="W46" s="74" t="s">
        <v>59</v>
      </c>
      <c r="X46" s="13">
        <v>0</v>
      </c>
      <c r="Y46" s="13">
        <v>3.17</v>
      </c>
      <c r="Z46" s="13">
        <f t="shared" si="42"/>
        <v>3.17</v>
      </c>
      <c r="AB46" s="74">
        <v>1</v>
      </c>
      <c r="AC46" s="74" t="s">
        <v>59</v>
      </c>
      <c r="AD46" s="13">
        <v>0</v>
      </c>
      <c r="AE46" s="13">
        <v>4.08</v>
      </c>
      <c r="AF46" s="13">
        <f t="shared" si="43"/>
        <v>4.08</v>
      </c>
      <c r="AH46" s="89">
        <f t="shared" si="4"/>
        <v>0</v>
      </c>
      <c r="AI46" s="89">
        <f t="shared" si="20"/>
        <v>-0.37745098039215685</v>
      </c>
      <c r="AJ46" s="89">
        <f t="shared" si="21"/>
        <v>-0.37745098039215685</v>
      </c>
    </row>
    <row r="47" spans="1:36" x14ac:dyDescent="0.3">
      <c r="A47" s="10" t="s">
        <v>118</v>
      </c>
      <c r="B47" s="11" t="s">
        <v>119</v>
      </c>
      <c r="C47" s="12">
        <f t="shared" si="23"/>
        <v>10</v>
      </c>
      <c r="D47" s="41" t="str">
        <f t="shared" si="24"/>
        <v xml:space="preserve">un </v>
      </c>
      <c r="E47" s="41">
        <f>ROUND((X47*(1-$M$5))*(1+BDI!$C$21),2)</f>
        <v>79.760000000000005</v>
      </c>
      <c r="F47" s="41">
        <f>ROUND((Y47*(1-$N$5))*(1+BDI!$C$21),2)</f>
        <v>0</v>
      </c>
      <c r="G47" s="41">
        <f t="shared" si="29"/>
        <v>79.760000000000005</v>
      </c>
      <c r="H47" s="13">
        <f t="shared" si="30"/>
        <v>797.6</v>
      </c>
      <c r="I47" s="13">
        <f t="shared" si="31"/>
        <v>0</v>
      </c>
      <c r="J47" s="14">
        <f t="shared" si="32"/>
        <v>797.6</v>
      </c>
      <c r="M47" s="54"/>
      <c r="N47" s="56"/>
      <c r="V47" s="74">
        <v>10</v>
      </c>
      <c r="W47" s="74" t="s">
        <v>30</v>
      </c>
      <c r="X47" s="13">
        <v>99.64</v>
      </c>
      <c r="Y47" s="13">
        <v>0</v>
      </c>
      <c r="Z47" s="13">
        <f t="shared" si="33"/>
        <v>99.64</v>
      </c>
      <c r="AB47" s="74">
        <v>10</v>
      </c>
      <c r="AC47" s="74" t="s">
        <v>30</v>
      </c>
      <c r="AD47" s="13">
        <v>128.36000000000001</v>
      </c>
      <c r="AE47" s="13">
        <v>0</v>
      </c>
      <c r="AF47" s="13">
        <f t="shared" ref="AF47" si="44">SUM(AD47:AE47)</f>
        <v>128.36000000000001</v>
      </c>
      <c r="AH47" s="89">
        <f t="shared" si="4"/>
        <v>-0.37862262387036461</v>
      </c>
      <c r="AI47" s="89">
        <f t="shared" si="20"/>
        <v>0</v>
      </c>
      <c r="AJ47" s="89">
        <f t="shared" si="21"/>
        <v>-0.37862262387036461</v>
      </c>
    </row>
    <row r="48" spans="1:36" x14ac:dyDescent="0.3">
      <c r="A48" s="10" t="s">
        <v>120</v>
      </c>
      <c r="B48" s="11" t="s">
        <v>121</v>
      </c>
      <c r="C48" s="12">
        <f t="shared" si="23"/>
        <v>1</v>
      </c>
      <c r="D48" s="41" t="str">
        <f t="shared" si="24"/>
        <v>m²</v>
      </c>
      <c r="E48" s="41">
        <f>ROUND((X48*(1-$M$5))*(1+BDI!$C$21),2)</f>
        <v>0</v>
      </c>
      <c r="F48" s="41">
        <f>ROUND((Y48*(1-$N$5))*(1+BDI!$C$21),2)</f>
        <v>6.4</v>
      </c>
      <c r="G48" s="41">
        <f t="shared" si="16"/>
        <v>6.4</v>
      </c>
      <c r="H48" s="13">
        <f t="shared" si="25"/>
        <v>0</v>
      </c>
      <c r="I48" s="13">
        <f t="shared" si="26"/>
        <v>6.4</v>
      </c>
      <c r="J48" s="14">
        <f t="shared" si="19"/>
        <v>6.4</v>
      </c>
      <c r="M48" s="54"/>
      <c r="N48" s="56"/>
      <c r="V48" s="74">
        <v>1</v>
      </c>
      <c r="W48" s="74" t="s">
        <v>59</v>
      </c>
      <c r="X48" s="13">
        <v>0</v>
      </c>
      <c r="Y48" s="13">
        <v>8</v>
      </c>
      <c r="Z48" s="13">
        <f t="shared" si="27"/>
        <v>8</v>
      </c>
      <c r="AB48" s="74">
        <v>1</v>
      </c>
      <c r="AC48" s="74" t="s">
        <v>59</v>
      </c>
      <c r="AD48" s="13">
        <v>0</v>
      </c>
      <c r="AE48" s="13">
        <v>10.31</v>
      </c>
      <c r="AF48" s="13">
        <f t="shared" ref="AF48:AF52" si="45">SUM(AD48:AE48)</f>
        <v>10.31</v>
      </c>
      <c r="AH48" s="89">
        <f t="shared" si="4"/>
        <v>0</v>
      </c>
      <c r="AI48" s="89">
        <f t="shared" si="20"/>
        <v>-0.37924345295829287</v>
      </c>
      <c r="AJ48" s="89">
        <f t="shared" si="21"/>
        <v>-0.37924345295829287</v>
      </c>
    </row>
    <row r="49" spans="1:36" ht="28.8" x14ac:dyDescent="0.3">
      <c r="A49" s="10" t="s">
        <v>122</v>
      </c>
      <c r="B49" s="11" t="s">
        <v>123</v>
      </c>
      <c r="C49" s="12">
        <f t="shared" si="23"/>
        <v>1</v>
      </c>
      <c r="D49" s="41" t="str">
        <f t="shared" si="24"/>
        <v>m²</v>
      </c>
      <c r="E49" s="41">
        <f>ROUND((X49*(1-$M$5))*(1+BDI!$C$21),2)</f>
        <v>0</v>
      </c>
      <c r="F49" s="41">
        <f>ROUND((Y49*(1-$N$5))*(1+BDI!$C$21),2)</f>
        <v>21.36</v>
      </c>
      <c r="G49" s="41">
        <f t="shared" si="16"/>
        <v>21.36</v>
      </c>
      <c r="H49" s="13">
        <f t="shared" si="25"/>
        <v>0</v>
      </c>
      <c r="I49" s="13">
        <f t="shared" si="26"/>
        <v>21.36</v>
      </c>
      <c r="J49" s="14">
        <f t="shared" si="19"/>
        <v>21.36</v>
      </c>
      <c r="M49" s="54"/>
      <c r="N49" s="56"/>
      <c r="V49" s="74">
        <v>1</v>
      </c>
      <c r="W49" s="74" t="s">
        <v>59</v>
      </c>
      <c r="X49" s="13">
        <v>0</v>
      </c>
      <c r="Y49" s="13">
        <v>26.68</v>
      </c>
      <c r="Z49" s="13">
        <f t="shared" si="27"/>
        <v>26.68</v>
      </c>
      <c r="AB49" s="74">
        <v>1</v>
      </c>
      <c r="AC49" s="74" t="s">
        <v>59</v>
      </c>
      <c r="AD49" s="13">
        <v>0</v>
      </c>
      <c r="AE49" s="13">
        <v>34.369999999999997</v>
      </c>
      <c r="AF49" s="13">
        <f t="shared" si="45"/>
        <v>34.369999999999997</v>
      </c>
      <c r="AH49" s="89">
        <f t="shared" si="4"/>
        <v>0</v>
      </c>
      <c r="AI49" s="89">
        <f t="shared" si="20"/>
        <v>-0.37852778585976143</v>
      </c>
      <c r="AJ49" s="89">
        <f t="shared" si="21"/>
        <v>-0.37852778585976143</v>
      </c>
    </row>
    <row r="50" spans="1:36" ht="28.8" x14ac:dyDescent="0.3">
      <c r="A50" s="10" t="s">
        <v>124</v>
      </c>
      <c r="B50" s="11" t="s">
        <v>125</v>
      </c>
      <c r="C50" s="12">
        <f t="shared" si="23"/>
        <v>1</v>
      </c>
      <c r="D50" s="41" t="str">
        <f t="shared" si="24"/>
        <v>m²</v>
      </c>
      <c r="E50" s="41">
        <f>ROUND((X50*(1-$M$5))*(1+BDI!$C$21),2)</f>
        <v>2.76</v>
      </c>
      <c r="F50" s="41">
        <f>ROUND((Y50*(1-$N$5))*(1+BDI!$C$21),2)</f>
        <v>8.82</v>
      </c>
      <c r="G50" s="41">
        <f t="shared" si="16"/>
        <v>11.58</v>
      </c>
      <c r="H50" s="13">
        <f t="shared" si="25"/>
        <v>2.76</v>
      </c>
      <c r="I50" s="13">
        <f t="shared" si="26"/>
        <v>8.82</v>
      </c>
      <c r="J50" s="14">
        <f t="shared" si="19"/>
        <v>11.58</v>
      </c>
      <c r="M50" s="54"/>
      <c r="N50" s="56"/>
      <c r="V50" s="74">
        <v>1</v>
      </c>
      <c r="W50" s="74" t="s">
        <v>59</v>
      </c>
      <c r="X50" s="13">
        <v>3.45</v>
      </c>
      <c r="Y50" s="13">
        <v>11.02</v>
      </c>
      <c r="Z50" s="13">
        <f t="shared" si="27"/>
        <v>14.469999999999999</v>
      </c>
      <c r="AB50" s="74">
        <v>1</v>
      </c>
      <c r="AC50" s="74" t="s">
        <v>59</v>
      </c>
      <c r="AD50" s="13">
        <v>4.4400000000000004</v>
      </c>
      <c r="AE50" s="13">
        <v>14.2</v>
      </c>
      <c r="AF50" s="13">
        <f t="shared" si="45"/>
        <v>18.64</v>
      </c>
      <c r="AH50" s="89">
        <f t="shared" si="4"/>
        <v>-0.37837837837837851</v>
      </c>
      <c r="AI50" s="89">
        <f t="shared" si="20"/>
        <v>-0.37887323943661966</v>
      </c>
      <c r="AJ50" s="89">
        <f t="shared" si="21"/>
        <v>-0.378755364806867</v>
      </c>
    </row>
    <row r="51" spans="1:36" x14ac:dyDescent="0.3">
      <c r="A51" s="10" t="s">
        <v>126</v>
      </c>
      <c r="B51" s="11" t="s">
        <v>127</v>
      </c>
      <c r="C51" s="12">
        <f t="shared" ref="C51" si="46">V51</f>
        <v>1</v>
      </c>
      <c r="D51" s="41" t="str">
        <f t="shared" ref="D51" si="47">W51</f>
        <v xml:space="preserve">un </v>
      </c>
      <c r="E51" s="41">
        <f>ROUND((X51*(1-$M$5))*(1+BDI!$C$21),2)</f>
        <v>0</v>
      </c>
      <c r="F51" s="41">
        <f>ROUND((Y51*(1-$N$5))*(1+BDI!$C$21),2)</f>
        <v>30.63</v>
      </c>
      <c r="G51" s="41">
        <f t="shared" ref="G51" si="48">F51+E51</f>
        <v>30.63</v>
      </c>
      <c r="H51" s="13">
        <f t="shared" ref="H51" si="49">C51*E51</f>
        <v>0</v>
      </c>
      <c r="I51" s="13">
        <f t="shared" ref="I51" si="50">C51*F51</f>
        <v>30.63</v>
      </c>
      <c r="J51" s="14">
        <f t="shared" ref="J51" si="51">SUM(E51:F51)*C51</f>
        <v>30.63</v>
      </c>
      <c r="M51" s="54"/>
      <c r="N51" s="56"/>
      <c r="V51" s="74">
        <v>1</v>
      </c>
      <c r="W51" s="74" t="s">
        <v>30</v>
      </c>
      <c r="X51" s="13">
        <v>0</v>
      </c>
      <c r="Y51" s="13">
        <v>38.270000000000003</v>
      </c>
      <c r="Z51" s="13">
        <f t="shared" ref="Z51" si="52">SUM(X51:Y51)</f>
        <v>38.270000000000003</v>
      </c>
      <c r="AB51" s="74">
        <v>1</v>
      </c>
      <c r="AC51" s="74" t="s">
        <v>30</v>
      </c>
      <c r="AD51" s="13">
        <v>0</v>
      </c>
      <c r="AE51" s="13">
        <v>49.3</v>
      </c>
      <c r="AF51" s="13">
        <f t="shared" ref="AF51" si="53">SUM(AD51:AE51)</f>
        <v>49.3</v>
      </c>
      <c r="AH51" s="89">
        <f t="shared" ref="AH51" si="54">IF(E51=0,0,(E51/AD51)-1)</f>
        <v>0</v>
      </c>
      <c r="AI51" s="89">
        <f t="shared" ref="AI51" si="55">IF(F51=0,0,(F51/AE51)-1)</f>
        <v>-0.37870182555780929</v>
      </c>
      <c r="AJ51" s="89">
        <f t="shared" ref="AJ51" si="56">IF(G51=0,0,(G51/AF51)-1)</f>
        <v>-0.37870182555780929</v>
      </c>
    </row>
    <row r="52" spans="1:36" x14ac:dyDescent="0.3">
      <c r="A52" s="10" t="s">
        <v>128</v>
      </c>
      <c r="B52" s="11" t="s">
        <v>129</v>
      </c>
      <c r="C52" s="12">
        <f t="shared" si="23"/>
        <v>1</v>
      </c>
      <c r="D52" s="41" t="str">
        <f t="shared" si="24"/>
        <v>m²</v>
      </c>
      <c r="E52" s="41">
        <f>ROUND((X52*(1-$M$5))*(1+BDI!$C$21),2)</f>
        <v>2.1</v>
      </c>
      <c r="F52" s="41">
        <f>ROUND((Y52*(1-$N$5))*(1+BDI!$C$21),2)</f>
        <v>3.34</v>
      </c>
      <c r="G52" s="41">
        <f t="shared" si="16"/>
        <v>5.4399999999999995</v>
      </c>
      <c r="H52" s="13">
        <f t="shared" si="25"/>
        <v>2.1</v>
      </c>
      <c r="I52" s="13">
        <f t="shared" si="26"/>
        <v>3.34</v>
      </c>
      <c r="J52" s="14">
        <f t="shared" si="19"/>
        <v>5.4399999999999995</v>
      </c>
      <c r="M52" s="54"/>
      <c r="N52" s="56"/>
      <c r="V52" s="74">
        <v>1</v>
      </c>
      <c r="W52" s="74" t="s">
        <v>59</v>
      </c>
      <c r="X52" s="13">
        <v>2.62</v>
      </c>
      <c r="Y52" s="13">
        <v>4.17</v>
      </c>
      <c r="Z52" s="13">
        <f t="shared" si="27"/>
        <v>6.79</v>
      </c>
      <c r="AB52" s="74">
        <v>1</v>
      </c>
      <c r="AC52" s="74" t="s">
        <v>59</v>
      </c>
      <c r="AD52" s="13">
        <v>3.38</v>
      </c>
      <c r="AE52" s="13">
        <v>5.37</v>
      </c>
      <c r="AF52" s="13">
        <f t="shared" si="45"/>
        <v>8.75</v>
      </c>
      <c r="AH52" s="89">
        <f t="shared" si="4"/>
        <v>-0.37869822485207094</v>
      </c>
      <c r="AI52" s="89">
        <f t="shared" si="20"/>
        <v>-0.37802607076350092</v>
      </c>
      <c r="AJ52" s="89">
        <f t="shared" si="21"/>
        <v>-0.37828571428571434</v>
      </c>
    </row>
    <row r="53" spans="1:36" x14ac:dyDescent="0.3">
      <c r="A53" s="15">
        <v>3</v>
      </c>
      <c r="B53" s="16" t="s">
        <v>130</v>
      </c>
      <c r="C53" s="76"/>
      <c r="D53" s="58"/>
      <c r="E53" s="58"/>
      <c r="F53" s="58"/>
      <c r="G53" s="58"/>
      <c r="H53" s="24">
        <f>SUM(H54:H55)</f>
        <v>1.89</v>
      </c>
      <c r="I53" s="24">
        <f t="shared" ref="I53:J53" si="57">SUM(I54:I55)</f>
        <v>103.22999999999999</v>
      </c>
      <c r="J53" s="24">
        <f t="shared" si="57"/>
        <v>105.11999999999999</v>
      </c>
      <c r="M53" s="54"/>
      <c r="N53" s="56"/>
      <c r="V53" s="75"/>
      <c r="W53" s="75"/>
      <c r="X53" s="23"/>
      <c r="Y53" s="23"/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20"/>
        <v>0</v>
      </c>
      <c r="AJ53" s="89">
        <f t="shared" si="21"/>
        <v>0</v>
      </c>
    </row>
    <row r="54" spans="1:36" x14ac:dyDescent="0.3">
      <c r="A54" s="10" t="s">
        <v>1012</v>
      </c>
      <c r="B54" s="11" t="s">
        <v>1032</v>
      </c>
      <c r="C54" s="12">
        <f t="shared" ref="C54:C55" si="58">V54</f>
        <v>1</v>
      </c>
      <c r="D54" s="41" t="str">
        <f t="shared" ref="D54:D55" si="59">W54</f>
        <v>m³</v>
      </c>
      <c r="E54" s="41">
        <f>ROUND((X54*(1-$M$5))*(1+BDI!$C$21),2)</f>
        <v>0</v>
      </c>
      <c r="F54" s="41">
        <f>ROUND((Y54*(1-$N$5))*(1+BDI!$C$21),2)</f>
        <v>84.6</v>
      </c>
      <c r="G54" s="41">
        <f t="shared" ref="G54:G55" si="60">F54+E54</f>
        <v>84.6</v>
      </c>
      <c r="H54" s="13">
        <f t="shared" ref="H54:H55" si="61">C54*E54</f>
        <v>0</v>
      </c>
      <c r="I54" s="13">
        <f t="shared" ref="I54:I55" si="62">C54*F54</f>
        <v>84.6</v>
      </c>
      <c r="J54" s="14">
        <f t="shared" ref="J54:J55" si="63">SUM(E54:F54)*C54</f>
        <v>84.6</v>
      </c>
      <c r="M54" s="54"/>
      <c r="N54" s="56"/>
      <c r="V54" s="74">
        <v>1</v>
      </c>
      <c r="W54" s="74" t="s">
        <v>51</v>
      </c>
      <c r="X54" s="13">
        <v>0</v>
      </c>
      <c r="Y54" s="13">
        <v>105.68</v>
      </c>
      <c r="Z54" s="13">
        <f t="shared" ref="Z54" si="64">SUM(X54:Y54)</f>
        <v>105.68</v>
      </c>
      <c r="AB54" s="74">
        <v>1</v>
      </c>
      <c r="AC54" s="74" t="s">
        <v>51</v>
      </c>
      <c r="AD54" s="13">
        <v>0</v>
      </c>
      <c r="AE54" s="13">
        <v>136.13999999999999</v>
      </c>
      <c r="AF54" s="13">
        <f t="shared" ref="AF54" si="65">SUM(AD54:AE54)</f>
        <v>136.13999999999999</v>
      </c>
      <c r="AH54" s="89">
        <f t="shared" si="4"/>
        <v>0</v>
      </c>
      <c r="AI54" s="89">
        <f t="shared" si="20"/>
        <v>-0.37858087263111506</v>
      </c>
      <c r="AJ54" s="89">
        <f t="shared" si="21"/>
        <v>-0.37858087263111506</v>
      </c>
    </row>
    <row r="55" spans="1:36" x14ac:dyDescent="0.3">
      <c r="A55" s="10" t="s">
        <v>1013</v>
      </c>
      <c r="B55" s="11" t="s">
        <v>1033</v>
      </c>
      <c r="C55" s="12">
        <f t="shared" si="58"/>
        <v>1</v>
      </c>
      <c r="D55" s="41" t="str">
        <f t="shared" si="59"/>
        <v>m³</v>
      </c>
      <c r="E55" s="41">
        <f>ROUND((X55*(1-$M$5))*(1+BDI!$C$21),2)</f>
        <v>1.89</v>
      </c>
      <c r="F55" s="41">
        <f>ROUND((Y55*(1-$N$5))*(1+BDI!$C$21),2)</f>
        <v>18.63</v>
      </c>
      <c r="G55" s="41">
        <f t="shared" si="60"/>
        <v>20.52</v>
      </c>
      <c r="H55" s="13">
        <f t="shared" si="61"/>
        <v>1.89</v>
      </c>
      <c r="I55" s="13">
        <f t="shared" si="62"/>
        <v>18.63</v>
      </c>
      <c r="J55" s="14">
        <f t="shared" si="63"/>
        <v>20.52</v>
      </c>
      <c r="M55" s="54"/>
      <c r="N55" s="56"/>
      <c r="V55" s="74">
        <v>1</v>
      </c>
      <c r="W55" s="74" t="s">
        <v>51</v>
      </c>
      <c r="X55" s="13">
        <v>2.36</v>
      </c>
      <c r="Y55" s="13">
        <v>23.27</v>
      </c>
      <c r="Z55" s="13">
        <f t="shared" ref="Z55" si="66">SUM(X55:Y55)</f>
        <v>25.63</v>
      </c>
      <c r="AB55" s="74">
        <v>1</v>
      </c>
      <c r="AC55" s="74" t="s">
        <v>51</v>
      </c>
      <c r="AD55" s="13">
        <v>3.04</v>
      </c>
      <c r="AE55" s="13">
        <v>29.98</v>
      </c>
      <c r="AF55" s="13">
        <f t="shared" ref="AF55" si="67">SUM(AD55:AE55)</f>
        <v>33.020000000000003</v>
      </c>
      <c r="AH55" s="89">
        <f t="shared" ref="AH55" si="68">IF(E55=0,0,(E55/AD55)-1)</f>
        <v>-0.37828947368421062</v>
      </c>
      <c r="AI55" s="89">
        <f t="shared" ref="AI55" si="69">IF(F55=0,0,(F55/AE55)-1)</f>
        <v>-0.3785857238158773</v>
      </c>
      <c r="AJ55" s="89">
        <f t="shared" ref="AJ55" si="70">IF(G55=0,0,(G55/AF55)-1)</f>
        <v>-0.37855844942459127</v>
      </c>
    </row>
    <row r="56" spans="1:36" x14ac:dyDescent="0.3">
      <c r="A56" s="15">
        <v>4</v>
      </c>
      <c r="B56" s="16" t="s">
        <v>131</v>
      </c>
      <c r="C56" s="76"/>
      <c r="D56" s="58"/>
      <c r="E56" s="58"/>
      <c r="F56" s="58"/>
      <c r="G56" s="58"/>
      <c r="H56" s="23">
        <v>0</v>
      </c>
      <c r="I56" s="23">
        <v>0</v>
      </c>
      <c r="J56" s="24">
        <v>0</v>
      </c>
      <c r="M56" s="54"/>
      <c r="N56" s="56"/>
      <c r="V56" s="75"/>
      <c r="W56" s="75"/>
      <c r="X56" s="23"/>
      <c r="Y56" s="23"/>
      <c r="Z56" s="23"/>
      <c r="AB56" s="75"/>
      <c r="AC56" s="75"/>
      <c r="AD56" s="23"/>
      <c r="AE56" s="23"/>
      <c r="AF56" s="23"/>
      <c r="AH56" s="89">
        <f t="shared" si="4"/>
        <v>0</v>
      </c>
      <c r="AI56" s="89">
        <f t="shared" si="20"/>
        <v>0</v>
      </c>
      <c r="AJ56" s="89">
        <f t="shared" si="21"/>
        <v>0</v>
      </c>
    </row>
    <row r="57" spans="1:36" x14ac:dyDescent="0.3">
      <c r="A57" s="15">
        <v>5</v>
      </c>
      <c r="B57" s="16" t="s">
        <v>132</v>
      </c>
      <c r="C57" s="76"/>
      <c r="D57" s="58"/>
      <c r="E57" s="58"/>
      <c r="F57" s="58"/>
      <c r="G57" s="58"/>
      <c r="H57" s="24">
        <f t="shared" ref="H57:I57" si="71">SUM(H58:H61)</f>
        <v>10931.849999999999</v>
      </c>
      <c r="I57" s="24">
        <f t="shared" si="71"/>
        <v>3863.51</v>
      </c>
      <c r="J57" s="24">
        <f>SUM(J58:J61)</f>
        <v>14795.359999999999</v>
      </c>
      <c r="M57" s="54"/>
      <c r="N57" s="56"/>
      <c r="V57" s="75"/>
      <c r="W57" s="75"/>
      <c r="X57" s="23"/>
      <c r="Y57" s="23"/>
      <c r="Z57" s="23"/>
      <c r="AB57" s="75"/>
      <c r="AC57" s="75"/>
      <c r="AD57" s="23"/>
      <c r="AE57" s="23"/>
      <c r="AF57" s="23"/>
      <c r="AH57" s="89">
        <f t="shared" si="4"/>
        <v>0</v>
      </c>
      <c r="AI57" s="89">
        <f t="shared" si="20"/>
        <v>0</v>
      </c>
      <c r="AJ57" s="89">
        <f t="shared" si="21"/>
        <v>0</v>
      </c>
    </row>
    <row r="58" spans="1:36" x14ac:dyDescent="0.3">
      <c r="A58" s="17" t="s">
        <v>133</v>
      </c>
      <c r="B58" s="11" t="s">
        <v>134</v>
      </c>
      <c r="C58" s="12">
        <f t="shared" ref="C58:D61" si="72">V58</f>
        <v>6</v>
      </c>
      <c r="D58" s="41" t="str">
        <f t="shared" si="72"/>
        <v>m³</v>
      </c>
      <c r="E58" s="41">
        <f>ROUND((X58*(1-$M$5))*(1+BDI!$C$21),2)</f>
        <v>644.99</v>
      </c>
      <c r="F58" s="41">
        <f>ROUND((Y58*(1-$N$5))*(1+BDI!$C$21),2)</f>
        <v>58.24</v>
      </c>
      <c r="G58" s="41">
        <f t="shared" si="16"/>
        <v>703.23</v>
      </c>
      <c r="H58" s="13">
        <f t="shared" ref="H58:H61" si="73">C58*E58</f>
        <v>3869.94</v>
      </c>
      <c r="I58" s="13">
        <f t="shared" ref="I58:I61" si="74">C58*F58</f>
        <v>349.44</v>
      </c>
      <c r="J58" s="14">
        <f t="shared" ref="J58:J89" si="75">SUM(E58:F58)*C58</f>
        <v>4219.38</v>
      </c>
      <c r="M58" s="54"/>
      <c r="N58" s="56"/>
      <c r="V58" s="74">
        <v>6</v>
      </c>
      <c r="W58" s="74" t="s">
        <v>51</v>
      </c>
      <c r="X58" s="13">
        <v>805.75</v>
      </c>
      <c r="Y58" s="13">
        <v>72.75</v>
      </c>
      <c r="Z58" s="13">
        <f>SUM(X58:Y58)</f>
        <v>878.5</v>
      </c>
      <c r="AB58" s="74">
        <v>6</v>
      </c>
      <c r="AC58" s="74" t="s">
        <v>51</v>
      </c>
      <c r="AD58" s="13">
        <v>1037.97</v>
      </c>
      <c r="AE58" s="13">
        <v>93.72</v>
      </c>
      <c r="AF58" s="13">
        <f>SUM(AD58:AE58)</f>
        <v>1131.69</v>
      </c>
      <c r="AH58" s="89">
        <f t="shared" si="4"/>
        <v>-0.3786043912637167</v>
      </c>
      <c r="AI58" s="89">
        <f t="shared" si="20"/>
        <v>-0.37857447716602644</v>
      </c>
      <c r="AJ58" s="89">
        <f t="shared" si="21"/>
        <v>-0.37860191395170062</v>
      </c>
    </row>
    <row r="59" spans="1:36" x14ac:dyDescent="0.3">
      <c r="A59" s="17" t="s">
        <v>135</v>
      </c>
      <c r="B59" s="11" t="s">
        <v>136</v>
      </c>
      <c r="C59" s="12">
        <f t="shared" si="72"/>
        <v>22</v>
      </c>
      <c r="D59" s="41" t="str">
        <f t="shared" si="72"/>
        <v>m²</v>
      </c>
      <c r="E59" s="41">
        <f>ROUND((X59*(1-$M$5))*(1+BDI!$C$21),2)</f>
        <v>121.32</v>
      </c>
      <c r="F59" s="41">
        <f>ROUND((Y59*(1-$N$5))*(1+BDI!$C$21),2)</f>
        <v>57.34</v>
      </c>
      <c r="G59" s="41">
        <f t="shared" si="16"/>
        <v>178.66</v>
      </c>
      <c r="H59" s="13">
        <f t="shared" si="73"/>
        <v>2669.04</v>
      </c>
      <c r="I59" s="13">
        <f t="shared" si="74"/>
        <v>1261.48</v>
      </c>
      <c r="J59" s="14">
        <f t="shared" si="75"/>
        <v>3930.52</v>
      </c>
      <c r="M59" s="54"/>
      <c r="N59" s="56"/>
      <c r="V59" s="74">
        <v>22</v>
      </c>
      <c r="W59" s="74" t="s">
        <v>59</v>
      </c>
      <c r="X59" s="13">
        <v>151.56</v>
      </c>
      <c r="Y59" s="13">
        <v>71.63</v>
      </c>
      <c r="Z59" s="13">
        <f>SUM(X59:Y59)</f>
        <v>223.19</v>
      </c>
      <c r="AB59" s="74">
        <v>22</v>
      </c>
      <c r="AC59" s="74" t="s">
        <v>59</v>
      </c>
      <c r="AD59" s="13">
        <v>195.24</v>
      </c>
      <c r="AE59" s="13">
        <v>92.27</v>
      </c>
      <c r="AF59" s="13">
        <f>SUM(AD59:AE59)</f>
        <v>287.51</v>
      </c>
      <c r="AH59" s="89">
        <f t="shared" si="4"/>
        <v>-0.37861094038106957</v>
      </c>
      <c r="AI59" s="89">
        <f t="shared" si="20"/>
        <v>-0.37856291318955237</v>
      </c>
      <c r="AJ59" s="89">
        <f t="shared" si="21"/>
        <v>-0.37859552711210043</v>
      </c>
    </row>
    <row r="60" spans="1:36" x14ac:dyDescent="0.3">
      <c r="A60" s="17" t="s">
        <v>137</v>
      </c>
      <c r="B60" s="11" t="s">
        <v>138</v>
      </c>
      <c r="C60" s="12">
        <f t="shared" si="72"/>
        <v>19</v>
      </c>
      <c r="D60" s="41" t="str">
        <f t="shared" si="72"/>
        <v>m²</v>
      </c>
      <c r="E60" s="41">
        <f>ROUND((X60*(1-$M$5))*(1+BDI!$C$21),2)</f>
        <v>89.13</v>
      </c>
      <c r="F60" s="41">
        <f>ROUND((Y60*(1-$N$5))*(1+BDI!$C$21),2)</f>
        <v>49.57</v>
      </c>
      <c r="G60" s="41">
        <f t="shared" si="16"/>
        <v>138.69999999999999</v>
      </c>
      <c r="H60" s="13">
        <f t="shared" si="73"/>
        <v>1693.4699999999998</v>
      </c>
      <c r="I60" s="13">
        <f t="shared" si="74"/>
        <v>941.83</v>
      </c>
      <c r="J60" s="14">
        <f t="shared" si="75"/>
        <v>2635.2999999999997</v>
      </c>
      <c r="M60" s="54"/>
      <c r="N60" s="56"/>
      <c r="V60" s="74">
        <v>19</v>
      </c>
      <c r="W60" s="74" t="s">
        <v>59</v>
      </c>
      <c r="X60" s="13">
        <v>111.35</v>
      </c>
      <c r="Y60" s="13">
        <v>61.92</v>
      </c>
      <c r="Z60" s="13">
        <f>SUM(X60:Y60)</f>
        <v>173.26999999999998</v>
      </c>
      <c r="AB60" s="74">
        <v>19</v>
      </c>
      <c r="AC60" s="74" t="s">
        <v>59</v>
      </c>
      <c r="AD60" s="13">
        <v>143.44</v>
      </c>
      <c r="AE60" s="13">
        <v>79.77</v>
      </c>
      <c r="AF60" s="13">
        <f>SUM(AD60:AE60)</f>
        <v>223.20999999999998</v>
      </c>
      <c r="AH60" s="89">
        <f t="shared" si="4"/>
        <v>-0.37862520914668152</v>
      </c>
      <c r="AI60" s="89">
        <f t="shared" si="20"/>
        <v>-0.37858844177008899</v>
      </c>
      <c r="AJ60" s="89">
        <f t="shared" si="21"/>
        <v>-0.37861206935173153</v>
      </c>
    </row>
    <row r="61" spans="1:36" x14ac:dyDescent="0.3">
      <c r="A61" s="17" t="s">
        <v>139</v>
      </c>
      <c r="B61" s="11" t="s">
        <v>140</v>
      </c>
      <c r="C61" s="12">
        <f t="shared" si="72"/>
        <v>44</v>
      </c>
      <c r="D61" s="41" t="str">
        <f t="shared" si="72"/>
        <v>m²</v>
      </c>
      <c r="E61" s="41">
        <f>ROUND((X61*(1-$M$5))*(1+BDI!$C$21),2)</f>
        <v>61.35</v>
      </c>
      <c r="F61" s="41">
        <f>ROUND((Y61*(1-$N$5))*(1+BDI!$C$21),2)</f>
        <v>29.79</v>
      </c>
      <c r="G61" s="41">
        <f t="shared" si="16"/>
        <v>91.14</v>
      </c>
      <c r="H61" s="13">
        <f t="shared" si="73"/>
        <v>2699.4</v>
      </c>
      <c r="I61" s="13">
        <f t="shared" si="74"/>
        <v>1310.76</v>
      </c>
      <c r="J61" s="14">
        <f t="shared" si="75"/>
        <v>4010.16</v>
      </c>
      <c r="M61" s="54"/>
      <c r="N61" s="56"/>
      <c r="V61" s="74">
        <v>44</v>
      </c>
      <c r="W61" s="74" t="s">
        <v>59</v>
      </c>
      <c r="X61" s="13">
        <v>76.64</v>
      </c>
      <c r="Y61" s="13">
        <v>37.21</v>
      </c>
      <c r="Z61" s="13">
        <f>SUM(X61:Y61)</f>
        <v>113.85</v>
      </c>
      <c r="AB61" s="74">
        <v>44</v>
      </c>
      <c r="AC61" s="74" t="s">
        <v>59</v>
      </c>
      <c r="AD61" s="13">
        <v>98.73</v>
      </c>
      <c r="AE61" s="13">
        <v>47.93</v>
      </c>
      <c r="AF61" s="13">
        <f>SUM(AD61:AE61)</f>
        <v>146.66</v>
      </c>
      <c r="AH61" s="89">
        <f t="shared" si="4"/>
        <v>-0.3786083257368581</v>
      </c>
      <c r="AI61" s="89">
        <f t="shared" si="20"/>
        <v>-0.37846860004172755</v>
      </c>
      <c r="AJ61" s="89">
        <f t="shared" si="21"/>
        <v>-0.37856266193917909</v>
      </c>
    </row>
    <row r="62" spans="1:36" x14ac:dyDescent="0.3">
      <c r="A62" s="15">
        <v>6</v>
      </c>
      <c r="B62" s="16" t="s">
        <v>141</v>
      </c>
      <c r="C62" s="76"/>
      <c r="D62" s="58"/>
      <c r="E62" s="58"/>
      <c r="F62" s="58"/>
      <c r="G62" s="58"/>
      <c r="H62" s="24">
        <f t="shared" ref="H62:I62" si="76">SUM(H63:H65)</f>
        <v>15860.15</v>
      </c>
      <c r="I62" s="24">
        <f t="shared" si="76"/>
        <v>6694.66</v>
      </c>
      <c r="J62" s="24">
        <f>SUM(J63:J65)</f>
        <v>22554.81</v>
      </c>
      <c r="M62" s="54"/>
      <c r="N62" s="56"/>
      <c r="V62" s="75"/>
      <c r="W62" s="75"/>
      <c r="X62" s="23"/>
      <c r="Y62" s="23"/>
      <c r="Z62" s="23"/>
      <c r="AB62" s="75"/>
      <c r="AC62" s="75"/>
      <c r="AD62" s="23"/>
      <c r="AE62" s="23"/>
      <c r="AF62" s="23"/>
      <c r="AH62" s="89">
        <f t="shared" si="4"/>
        <v>0</v>
      </c>
      <c r="AI62" s="89">
        <f t="shared" si="20"/>
        <v>0</v>
      </c>
      <c r="AJ62" s="89">
        <f t="shared" si="21"/>
        <v>0</v>
      </c>
    </row>
    <row r="63" spans="1:36" x14ac:dyDescent="0.3">
      <c r="A63" s="17" t="s">
        <v>142</v>
      </c>
      <c r="B63" s="11" t="s">
        <v>143</v>
      </c>
      <c r="C63" s="12">
        <f t="shared" ref="C63:D65" si="77">V63</f>
        <v>87</v>
      </c>
      <c r="D63" s="41" t="str">
        <f t="shared" si="77"/>
        <v>m²</v>
      </c>
      <c r="E63" s="41">
        <f>ROUND((X63*(1-$M$5))*(1+BDI!$C$21),2)</f>
        <v>23.09</v>
      </c>
      <c r="F63" s="41">
        <f>ROUND((Y63*(1-$N$5))*(1+BDI!$C$21),2)</f>
        <v>41.66</v>
      </c>
      <c r="G63" s="41">
        <f t="shared" si="16"/>
        <v>64.75</v>
      </c>
      <c r="H63" s="13">
        <f t="shared" ref="H63:H65" si="78">C63*E63</f>
        <v>2008.83</v>
      </c>
      <c r="I63" s="13">
        <f t="shared" ref="I63:I65" si="79">C63*F63</f>
        <v>3624.4199999999996</v>
      </c>
      <c r="J63" s="14">
        <f t="shared" si="75"/>
        <v>5633.25</v>
      </c>
      <c r="M63" s="54"/>
      <c r="N63" s="56"/>
      <c r="V63" s="74">
        <v>87</v>
      </c>
      <c r="W63" s="74" t="s">
        <v>59</v>
      </c>
      <c r="X63" s="13">
        <v>28.84</v>
      </c>
      <c r="Y63" s="13">
        <v>52.04</v>
      </c>
      <c r="Z63" s="13">
        <f>SUM(X63:Y63)</f>
        <v>80.88</v>
      </c>
      <c r="AB63" s="74">
        <v>87</v>
      </c>
      <c r="AC63" s="74" t="s">
        <v>59</v>
      </c>
      <c r="AD63" s="13">
        <v>37.15</v>
      </c>
      <c r="AE63" s="13">
        <v>67.040000000000006</v>
      </c>
      <c r="AF63" s="13">
        <f>SUM(AD63:AE63)</f>
        <v>104.19</v>
      </c>
      <c r="AH63" s="89">
        <f t="shared" si="4"/>
        <v>-0.37846567967698519</v>
      </c>
      <c r="AI63" s="89">
        <f t="shared" si="20"/>
        <v>-0.37857995226730323</v>
      </c>
      <c r="AJ63" s="89">
        <f t="shared" si="21"/>
        <v>-0.37853920721758327</v>
      </c>
    </row>
    <row r="64" spans="1:36" x14ac:dyDescent="0.3">
      <c r="A64" s="17" t="s">
        <v>144</v>
      </c>
      <c r="B64" s="11" t="s">
        <v>145</v>
      </c>
      <c r="C64" s="12">
        <f t="shared" si="77"/>
        <v>116</v>
      </c>
      <c r="D64" s="41" t="str">
        <f t="shared" si="77"/>
        <v>m²</v>
      </c>
      <c r="E64" s="41">
        <f>ROUND((X64*(1-$M$5))*(1+BDI!$C$21),2)</f>
        <v>109.66</v>
      </c>
      <c r="F64" s="41">
        <f>ROUND((Y64*(1-$N$5))*(1+BDI!$C$21),2)</f>
        <v>12.53</v>
      </c>
      <c r="G64" s="41">
        <f t="shared" si="16"/>
        <v>122.19</v>
      </c>
      <c r="H64" s="13">
        <f t="shared" si="78"/>
        <v>12720.56</v>
      </c>
      <c r="I64" s="13">
        <f t="shared" si="79"/>
        <v>1453.48</v>
      </c>
      <c r="J64" s="14">
        <f t="shared" si="75"/>
        <v>14174.039999999999</v>
      </c>
      <c r="M64" s="54"/>
      <c r="N64" s="55"/>
      <c r="V64" s="74">
        <v>116</v>
      </c>
      <c r="W64" s="74" t="s">
        <v>59</v>
      </c>
      <c r="X64" s="13">
        <v>136.99</v>
      </c>
      <c r="Y64" s="13">
        <v>15.65</v>
      </c>
      <c r="Z64" s="13">
        <f>SUM(X64:Y64)</f>
        <v>152.64000000000001</v>
      </c>
      <c r="AB64" s="74">
        <v>116</v>
      </c>
      <c r="AC64" s="74" t="s">
        <v>59</v>
      </c>
      <c r="AD64" s="13">
        <v>176.47</v>
      </c>
      <c r="AE64" s="13">
        <v>20.16</v>
      </c>
      <c r="AF64" s="13">
        <f>SUM(AD64:AE64)</f>
        <v>196.63</v>
      </c>
      <c r="AH64" s="89">
        <f t="shared" si="4"/>
        <v>-0.37859126197087323</v>
      </c>
      <c r="AI64" s="89">
        <f t="shared" si="20"/>
        <v>-0.37847222222222221</v>
      </c>
      <c r="AJ64" s="89">
        <f t="shared" si="21"/>
        <v>-0.37857905711234296</v>
      </c>
    </row>
    <row r="65" spans="1:36" x14ac:dyDescent="0.3">
      <c r="A65" s="17" t="s">
        <v>146</v>
      </c>
      <c r="B65" s="11" t="s">
        <v>147</v>
      </c>
      <c r="C65" s="12">
        <f t="shared" si="77"/>
        <v>54</v>
      </c>
      <c r="D65" s="41" t="str">
        <f t="shared" si="77"/>
        <v>m</v>
      </c>
      <c r="E65" s="41">
        <f>ROUND((X65*(1-$M$5))*(1+BDI!$C$21),2)</f>
        <v>20.94</v>
      </c>
      <c r="F65" s="41">
        <f>ROUND((Y65*(1-$N$5))*(1+BDI!$C$21),2)</f>
        <v>29.94</v>
      </c>
      <c r="G65" s="41">
        <f t="shared" si="16"/>
        <v>50.88</v>
      </c>
      <c r="H65" s="13">
        <f t="shared" si="78"/>
        <v>1130.76</v>
      </c>
      <c r="I65" s="13">
        <f t="shared" si="79"/>
        <v>1616.76</v>
      </c>
      <c r="J65" s="14">
        <f t="shared" si="75"/>
        <v>2747.52</v>
      </c>
      <c r="M65" s="54"/>
      <c r="N65" s="55"/>
      <c r="V65" s="74">
        <v>54</v>
      </c>
      <c r="W65" s="74" t="s">
        <v>75</v>
      </c>
      <c r="X65" s="13">
        <v>26.16</v>
      </c>
      <c r="Y65" s="13">
        <v>37.4</v>
      </c>
      <c r="Z65" s="13">
        <f>SUM(X65:Y65)</f>
        <v>63.56</v>
      </c>
      <c r="AB65" s="74">
        <v>54</v>
      </c>
      <c r="AC65" s="74" t="s">
        <v>75</v>
      </c>
      <c r="AD65" s="13">
        <v>33.700000000000003</v>
      </c>
      <c r="AE65" s="13">
        <v>48.18</v>
      </c>
      <c r="AF65" s="13">
        <f>SUM(AD65:AE65)</f>
        <v>81.88</v>
      </c>
      <c r="AH65" s="89">
        <f t="shared" si="4"/>
        <v>-0.37863501483679529</v>
      </c>
      <c r="AI65" s="89">
        <f t="shared" si="20"/>
        <v>-0.3785803237858032</v>
      </c>
      <c r="AJ65" s="89">
        <f t="shared" si="21"/>
        <v>-0.3786028334147532</v>
      </c>
    </row>
    <row r="66" spans="1:36" x14ac:dyDescent="0.3">
      <c r="A66" s="15">
        <v>7</v>
      </c>
      <c r="B66" s="16" t="s">
        <v>148</v>
      </c>
      <c r="C66" s="76"/>
      <c r="D66" s="58"/>
      <c r="E66" s="58"/>
      <c r="F66" s="58"/>
      <c r="G66" s="58"/>
      <c r="H66" s="24">
        <f t="shared" ref="H66:I66" si="80">SUM(H67:H81)</f>
        <v>41755.250000000015</v>
      </c>
      <c r="I66" s="24">
        <f t="shared" si="80"/>
        <v>15352.499999999998</v>
      </c>
      <c r="J66" s="24">
        <f>SUM(J67:J81)</f>
        <v>57107.75</v>
      </c>
      <c r="M66" s="54"/>
      <c r="N66" s="55"/>
      <c r="V66" s="75"/>
      <c r="W66" s="75"/>
      <c r="X66" s="23"/>
      <c r="Y66" s="23"/>
      <c r="Z66" s="23"/>
      <c r="AB66" s="75"/>
      <c r="AC66" s="75"/>
      <c r="AD66" s="23"/>
      <c r="AE66" s="23"/>
      <c r="AF66" s="23"/>
      <c r="AH66" s="89">
        <f t="shared" si="4"/>
        <v>0</v>
      </c>
      <c r="AI66" s="89">
        <f t="shared" si="20"/>
        <v>0</v>
      </c>
      <c r="AJ66" s="89">
        <f t="shared" si="21"/>
        <v>0</v>
      </c>
    </row>
    <row r="67" spans="1:36" x14ac:dyDescent="0.3">
      <c r="A67" s="17" t="s">
        <v>149</v>
      </c>
      <c r="B67" s="11" t="s">
        <v>150</v>
      </c>
      <c r="C67" s="12">
        <f t="shared" ref="C67:C81" si="81">V67</f>
        <v>185</v>
      </c>
      <c r="D67" s="41" t="str">
        <f t="shared" ref="D67:D81" si="82">W67</f>
        <v>m²</v>
      </c>
      <c r="E67" s="41">
        <f>ROUND((X67*(1-$M$5))*(1+BDI!$C$21),2)</f>
        <v>70.98</v>
      </c>
      <c r="F67" s="41">
        <f>ROUND((Y67*(1-$N$5))*(1+BDI!$C$21),2)</f>
        <v>12.8</v>
      </c>
      <c r="G67" s="41">
        <f t="shared" si="16"/>
        <v>83.78</v>
      </c>
      <c r="H67" s="13">
        <f t="shared" ref="H67:H81" si="83">C67*E67</f>
        <v>13131.300000000001</v>
      </c>
      <c r="I67" s="13">
        <f t="shared" ref="I67:I81" si="84">C67*F67</f>
        <v>2368</v>
      </c>
      <c r="J67" s="14">
        <f t="shared" si="75"/>
        <v>15499.300000000001</v>
      </c>
      <c r="M67" s="54"/>
      <c r="N67" s="56"/>
      <c r="V67" s="74">
        <v>185</v>
      </c>
      <c r="W67" s="74" t="s">
        <v>59</v>
      </c>
      <c r="X67" s="13">
        <v>88.67</v>
      </c>
      <c r="Y67" s="13">
        <v>15.99</v>
      </c>
      <c r="Z67" s="13">
        <f t="shared" ref="Z67:Z81" si="85">SUM(X67:Y67)</f>
        <v>104.66</v>
      </c>
      <c r="AB67" s="74">
        <v>185</v>
      </c>
      <c r="AC67" s="74" t="s">
        <v>59</v>
      </c>
      <c r="AD67" s="13">
        <v>114.22</v>
      </c>
      <c r="AE67" s="13">
        <v>20.6</v>
      </c>
      <c r="AF67" s="13">
        <f t="shared" ref="AF67:AF75" si="86">SUM(AD67:AE67)</f>
        <v>134.82</v>
      </c>
      <c r="AH67" s="89">
        <f t="shared" si="4"/>
        <v>-0.37856767641393796</v>
      </c>
      <c r="AI67" s="89">
        <f t="shared" si="20"/>
        <v>-0.37864077669902918</v>
      </c>
      <c r="AJ67" s="89">
        <f t="shared" si="21"/>
        <v>-0.37857884586856549</v>
      </c>
    </row>
    <row r="68" spans="1:36" x14ac:dyDescent="0.3">
      <c r="A68" s="17" t="s">
        <v>151</v>
      </c>
      <c r="B68" s="11" t="s">
        <v>152</v>
      </c>
      <c r="C68" s="12">
        <f t="shared" si="81"/>
        <v>8</v>
      </c>
      <c r="D68" s="41" t="str">
        <f t="shared" si="82"/>
        <v>m²</v>
      </c>
      <c r="E68" s="41">
        <f>ROUND((X68*(1-$M$5))*(1+BDI!$C$21),2)</f>
        <v>136.41</v>
      </c>
      <c r="F68" s="41">
        <f>ROUND((Y68*(1-$N$5))*(1+BDI!$C$21),2)</f>
        <v>10.24</v>
      </c>
      <c r="G68" s="41">
        <f t="shared" si="16"/>
        <v>146.65</v>
      </c>
      <c r="H68" s="13">
        <f t="shared" si="83"/>
        <v>1091.28</v>
      </c>
      <c r="I68" s="13">
        <f t="shared" si="84"/>
        <v>81.92</v>
      </c>
      <c r="J68" s="14">
        <f t="shared" si="75"/>
        <v>1173.2</v>
      </c>
      <c r="M68" s="54"/>
      <c r="N68" s="56"/>
      <c r="V68" s="74">
        <v>8</v>
      </c>
      <c r="W68" s="74" t="s">
        <v>59</v>
      </c>
      <c r="X68" s="13">
        <v>170.41</v>
      </c>
      <c r="Y68" s="13">
        <v>12.79</v>
      </c>
      <c r="Z68" s="13">
        <f t="shared" si="85"/>
        <v>183.2</v>
      </c>
      <c r="AB68" s="74">
        <v>8</v>
      </c>
      <c r="AC68" s="74" t="s">
        <v>59</v>
      </c>
      <c r="AD68" s="13">
        <v>219.52</v>
      </c>
      <c r="AE68" s="13">
        <v>16.48</v>
      </c>
      <c r="AF68" s="13">
        <f t="shared" si="86"/>
        <v>236</v>
      </c>
      <c r="AH68" s="89">
        <f t="shared" si="4"/>
        <v>-0.37859876093294464</v>
      </c>
      <c r="AI68" s="89">
        <f t="shared" si="20"/>
        <v>-0.37864077669902918</v>
      </c>
      <c r="AJ68" s="89">
        <f t="shared" si="21"/>
        <v>-0.37860169491525419</v>
      </c>
    </row>
    <row r="69" spans="1:36" x14ac:dyDescent="0.3">
      <c r="A69" s="17" t="s">
        <v>153</v>
      </c>
      <c r="B69" s="11" t="s">
        <v>154</v>
      </c>
      <c r="C69" s="12">
        <f t="shared" si="81"/>
        <v>1</v>
      </c>
      <c r="D69" s="41" t="str">
        <f t="shared" si="82"/>
        <v>m</v>
      </c>
      <c r="E69" s="41">
        <f>ROUND((X69*(1-$M$5))*(1+BDI!$C$21),2)</f>
        <v>100.57</v>
      </c>
      <c r="F69" s="41">
        <f>ROUND((Y69*(1-$N$5))*(1+BDI!$C$21),2)</f>
        <v>5.59</v>
      </c>
      <c r="G69" s="41">
        <f t="shared" si="16"/>
        <v>106.16</v>
      </c>
      <c r="H69" s="13">
        <f t="shared" si="83"/>
        <v>100.57</v>
      </c>
      <c r="I69" s="13">
        <f t="shared" si="84"/>
        <v>5.59</v>
      </c>
      <c r="J69" s="14">
        <f t="shared" si="75"/>
        <v>106.16</v>
      </c>
      <c r="M69" s="54"/>
      <c r="N69" s="56"/>
      <c r="V69" s="74">
        <v>1</v>
      </c>
      <c r="W69" s="74" t="s">
        <v>75</v>
      </c>
      <c r="X69" s="13">
        <v>125.64</v>
      </c>
      <c r="Y69" s="13">
        <v>6.98</v>
      </c>
      <c r="Z69" s="13">
        <f t="shared" si="85"/>
        <v>132.62</v>
      </c>
      <c r="AB69" s="74">
        <v>1</v>
      </c>
      <c r="AC69" s="74" t="s">
        <v>75</v>
      </c>
      <c r="AD69" s="13">
        <v>161.85</v>
      </c>
      <c r="AE69" s="13">
        <v>8.99</v>
      </c>
      <c r="AF69" s="13">
        <f t="shared" si="86"/>
        <v>170.84</v>
      </c>
      <c r="AH69" s="89">
        <f t="shared" si="4"/>
        <v>-0.37862218103181966</v>
      </c>
      <c r="AI69" s="89">
        <f t="shared" si="20"/>
        <v>-0.37819799777530594</v>
      </c>
      <c r="AJ69" s="89">
        <f t="shared" si="21"/>
        <v>-0.37859985951767738</v>
      </c>
    </row>
    <row r="70" spans="1:36" x14ac:dyDescent="0.3">
      <c r="A70" s="17" t="s">
        <v>155</v>
      </c>
      <c r="B70" s="11" t="s">
        <v>156</v>
      </c>
      <c r="C70" s="12">
        <f t="shared" si="81"/>
        <v>22</v>
      </c>
      <c r="D70" s="41" t="str">
        <f t="shared" si="82"/>
        <v>m²</v>
      </c>
      <c r="E70" s="41">
        <f>ROUND((X70*(1-$M$5))*(1+BDI!$C$21),2)</f>
        <v>41.57</v>
      </c>
      <c r="F70" s="41">
        <f>ROUND((Y70*(1-$N$5))*(1+BDI!$C$21),2)</f>
        <v>11.01</v>
      </c>
      <c r="G70" s="41">
        <f t="shared" si="16"/>
        <v>52.58</v>
      </c>
      <c r="H70" s="13">
        <f t="shared" si="83"/>
        <v>914.54</v>
      </c>
      <c r="I70" s="13">
        <f t="shared" si="84"/>
        <v>242.22</v>
      </c>
      <c r="J70" s="14">
        <f t="shared" si="75"/>
        <v>1156.76</v>
      </c>
      <c r="M70" s="54"/>
      <c r="N70" s="56"/>
      <c r="V70" s="74">
        <v>22</v>
      </c>
      <c r="W70" s="74" t="s">
        <v>59</v>
      </c>
      <c r="X70" s="13">
        <v>51.93</v>
      </c>
      <c r="Y70" s="13">
        <v>13.76</v>
      </c>
      <c r="Z70" s="13">
        <f t="shared" si="85"/>
        <v>65.69</v>
      </c>
      <c r="AB70" s="74">
        <v>22</v>
      </c>
      <c r="AC70" s="74" t="s">
        <v>59</v>
      </c>
      <c r="AD70" s="13">
        <v>66.900000000000006</v>
      </c>
      <c r="AE70" s="13">
        <v>17.73</v>
      </c>
      <c r="AF70" s="13">
        <f t="shared" si="86"/>
        <v>84.63000000000001</v>
      </c>
      <c r="AH70" s="89">
        <f t="shared" si="4"/>
        <v>-0.37862481315396124</v>
      </c>
      <c r="AI70" s="89">
        <f t="shared" si="20"/>
        <v>-0.37901861252115066</v>
      </c>
      <c r="AJ70" s="89">
        <f t="shared" si="21"/>
        <v>-0.3787073141911852</v>
      </c>
    </row>
    <row r="71" spans="1:36" x14ac:dyDescent="0.3">
      <c r="A71" s="17" t="s">
        <v>157</v>
      </c>
      <c r="B71" s="11" t="s">
        <v>158</v>
      </c>
      <c r="C71" s="12">
        <f t="shared" si="81"/>
        <v>8</v>
      </c>
      <c r="D71" s="41" t="str">
        <f t="shared" si="82"/>
        <v>m</v>
      </c>
      <c r="E71" s="41">
        <f>ROUND((X71*(1-$M$5))*(1+BDI!$C$21),2)</f>
        <v>17.420000000000002</v>
      </c>
      <c r="F71" s="41">
        <f>ROUND((Y71*(1-$N$5))*(1+BDI!$C$21),2)</f>
        <v>23.72</v>
      </c>
      <c r="G71" s="41">
        <f t="shared" si="16"/>
        <v>41.14</v>
      </c>
      <c r="H71" s="13">
        <f t="shared" si="83"/>
        <v>139.36000000000001</v>
      </c>
      <c r="I71" s="13">
        <f t="shared" si="84"/>
        <v>189.76</v>
      </c>
      <c r="J71" s="14">
        <f t="shared" si="75"/>
        <v>329.12</v>
      </c>
      <c r="M71" s="54"/>
      <c r="N71" s="55"/>
      <c r="V71" s="74">
        <v>8</v>
      </c>
      <c r="W71" s="74" t="s">
        <v>75</v>
      </c>
      <c r="X71" s="13">
        <v>21.76</v>
      </c>
      <c r="Y71" s="13">
        <v>29.63</v>
      </c>
      <c r="Z71" s="13">
        <f t="shared" si="85"/>
        <v>51.39</v>
      </c>
      <c r="AB71" s="74">
        <v>8</v>
      </c>
      <c r="AC71" s="74" t="s">
        <v>75</v>
      </c>
      <c r="AD71" s="13">
        <v>28.03</v>
      </c>
      <c r="AE71" s="13">
        <v>38.17</v>
      </c>
      <c r="AF71" s="13">
        <f t="shared" si="86"/>
        <v>66.2</v>
      </c>
      <c r="AH71" s="89">
        <f t="shared" si="4"/>
        <v>-0.37852301105957897</v>
      </c>
      <c r="AI71" s="89">
        <f t="shared" si="20"/>
        <v>-0.37856955724390884</v>
      </c>
      <c r="AJ71" s="89">
        <f t="shared" si="21"/>
        <v>-0.37854984894259824</v>
      </c>
    </row>
    <row r="72" spans="1:36" x14ac:dyDescent="0.3">
      <c r="A72" s="17" t="s">
        <v>159</v>
      </c>
      <c r="B72" s="11" t="s">
        <v>160</v>
      </c>
      <c r="C72" s="12">
        <f t="shared" si="81"/>
        <v>40</v>
      </c>
      <c r="D72" s="41" t="str">
        <f t="shared" si="82"/>
        <v>m</v>
      </c>
      <c r="E72" s="41">
        <f>ROUND((X72*(1-$M$5))*(1+BDI!$C$21),2)</f>
        <v>58.68</v>
      </c>
      <c r="F72" s="41">
        <f>ROUND((Y72*(1-$N$5))*(1+BDI!$C$21),2)</f>
        <v>26.74</v>
      </c>
      <c r="G72" s="41">
        <f t="shared" si="16"/>
        <v>85.42</v>
      </c>
      <c r="H72" s="13">
        <f t="shared" si="83"/>
        <v>2347.1999999999998</v>
      </c>
      <c r="I72" s="13">
        <f t="shared" si="84"/>
        <v>1069.5999999999999</v>
      </c>
      <c r="J72" s="14">
        <f t="shared" si="75"/>
        <v>3416.8</v>
      </c>
      <c r="M72" s="54"/>
      <c r="N72" s="56"/>
      <c r="V72" s="74">
        <v>40</v>
      </c>
      <c r="W72" s="74" t="s">
        <v>75</v>
      </c>
      <c r="X72" s="13">
        <v>73.3</v>
      </c>
      <c r="Y72" s="13">
        <v>33.409999999999997</v>
      </c>
      <c r="Z72" s="13">
        <f t="shared" si="85"/>
        <v>106.71</v>
      </c>
      <c r="AB72" s="74">
        <v>40</v>
      </c>
      <c r="AC72" s="74" t="s">
        <v>75</v>
      </c>
      <c r="AD72" s="13">
        <v>94.43</v>
      </c>
      <c r="AE72" s="13">
        <v>43.04</v>
      </c>
      <c r="AF72" s="13">
        <f t="shared" si="86"/>
        <v>137.47</v>
      </c>
      <c r="AH72" s="89">
        <f t="shared" si="4"/>
        <v>-0.37858731335380713</v>
      </c>
      <c r="AI72" s="89">
        <f t="shared" si="20"/>
        <v>-0.37871747211895912</v>
      </c>
      <c r="AJ72" s="89">
        <f t="shared" si="21"/>
        <v>-0.37862806430493923</v>
      </c>
    </row>
    <row r="73" spans="1:36" x14ac:dyDescent="0.3">
      <c r="A73" s="17" t="s">
        <v>161</v>
      </c>
      <c r="B73" s="11" t="s">
        <v>162</v>
      </c>
      <c r="C73" s="12">
        <f t="shared" si="81"/>
        <v>173</v>
      </c>
      <c r="D73" s="41" t="str">
        <f t="shared" si="82"/>
        <v>m²</v>
      </c>
      <c r="E73" s="41">
        <f>ROUND((X73*(1-$M$5))*(1+BDI!$C$21),2)</f>
        <v>31.64</v>
      </c>
      <c r="F73" s="41">
        <f>ROUND((Y73*(1-$N$5))*(1+BDI!$C$21),2)</f>
        <v>6.82</v>
      </c>
      <c r="G73" s="41">
        <f t="shared" si="16"/>
        <v>38.46</v>
      </c>
      <c r="H73" s="13">
        <f t="shared" si="83"/>
        <v>5473.72</v>
      </c>
      <c r="I73" s="13">
        <f t="shared" si="84"/>
        <v>1179.8600000000001</v>
      </c>
      <c r="J73" s="14">
        <f t="shared" si="75"/>
        <v>6653.58</v>
      </c>
      <c r="M73" s="54"/>
      <c r="N73" s="56"/>
      <c r="V73" s="74">
        <v>173</v>
      </c>
      <c r="W73" s="74" t="s">
        <v>59</v>
      </c>
      <c r="X73" s="13">
        <v>39.53</v>
      </c>
      <c r="Y73" s="13">
        <v>8.52</v>
      </c>
      <c r="Z73" s="13">
        <f t="shared" si="85"/>
        <v>48.05</v>
      </c>
      <c r="AB73" s="74">
        <v>173</v>
      </c>
      <c r="AC73" s="74" t="s">
        <v>59</v>
      </c>
      <c r="AD73" s="13">
        <v>50.92</v>
      </c>
      <c r="AE73" s="13">
        <v>10.98</v>
      </c>
      <c r="AF73" s="13">
        <f t="shared" si="86"/>
        <v>61.900000000000006</v>
      </c>
      <c r="AH73" s="89">
        <f t="shared" si="4"/>
        <v>-0.37863315003927733</v>
      </c>
      <c r="AI73" s="89">
        <f t="shared" si="20"/>
        <v>-0.37887067395264118</v>
      </c>
      <c r="AJ73" s="89">
        <f t="shared" si="21"/>
        <v>-0.37867528271405493</v>
      </c>
    </row>
    <row r="74" spans="1:36" x14ac:dyDescent="0.3">
      <c r="A74" s="17" t="s">
        <v>163</v>
      </c>
      <c r="B74" s="11" t="s">
        <v>164</v>
      </c>
      <c r="C74" s="12">
        <f t="shared" si="81"/>
        <v>98</v>
      </c>
      <c r="D74" s="41" t="str">
        <f t="shared" si="82"/>
        <v>m</v>
      </c>
      <c r="E74" s="41">
        <f>ROUND((X74*(1-$M$5))*(1+BDI!$C$21),2)</f>
        <v>40.700000000000003</v>
      </c>
      <c r="F74" s="41">
        <f>ROUND((Y74*(1-$N$5))*(1+BDI!$C$21),2)</f>
        <v>10.88</v>
      </c>
      <c r="G74" s="41">
        <f t="shared" si="16"/>
        <v>51.580000000000005</v>
      </c>
      <c r="H74" s="13">
        <f t="shared" si="83"/>
        <v>3988.6000000000004</v>
      </c>
      <c r="I74" s="13">
        <f t="shared" si="84"/>
        <v>1066.24</v>
      </c>
      <c r="J74" s="14">
        <f t="shared" si="75"/>
        <v>5054.84</v>
      </c>
      <c r="M74" s="54"/>
      <c r="N74" s="56"/>
      <c r="V74" s="74">
        <v>98</v>
      </c>
      <c r="W74" s="74" t="s">
        <v>75</v>
      </c>
      <c r="X74" s="13">
        <v>50.85</v>
      </c>
      <c r="Y74" s="13">
        <v>13.59</v>
      </c>
      <c r="Z74" s="13">
        <f t="shared" si="85"/>
        <v>64.44</v>
      </c>
      <c r="AB74" s="74">
        <v>98</v>
      </c>
      <c r="AC74" s="74" t="s">
        <v>75</v>
      </c>
      <c r="AD74" s="13">
        <v>65.5</v>
      </c>
      <c r="AE74" s="13">
        <v>17.510000000000002</v>
      </c>
      <c r="AF74" s="13">
        <f t="shared" si="86"/>
        <v>83.01</v>
      </c>
      <c r="AH74" s="89">
        <f t="shared" si="4"/>
        <v>-0.37862595419847322</v>
      </c>
      <c r="AI74" s="89">
        <f t="shared" si="20"/>
        <v>-0.37864077669902918</v>
      </c>
      <c r="AJ74" s="89">
        <f t="shared" si="21"/>
        <v>-0.37862908083363445</v>
      </c>
    </row>
    <row r="75" spans="1:36" x14ac:dyDescent="0.3">
      <c r="A75" s="17" t="s">
        <v>165</v>
      </c>
      <c r="B75" s="11" t="s">
        <v>166</v>
      </c>
      <c r="C75" s="12">
        <f t="shared" si="81"/>
        <v>65</v>
      </c>
      <c r="D75" s="41" t="str">
        <f t="shared" si="82"/>
        <v>m</v>
      </c>
      <c r="E75" s="41">
        <f>ROUND((X75*(1-$M$5))*(1+BDI!$C$21),2)</f>
        <v>35.61</v>
      </c>
      <c r="F75" s="41">
        <f>ROUND((Y75*(1-$N$5))*(1+BDI!$C$21),2)</f>
        <v>7.36</v>
      </c>
      <c r="G75" s="41">
        <f t="shared" si="16"/>
        <v>42.97</v>
      </c>
      <c r="H75" s="13">
        <f t="shared" si="83"/>
        <v>2314.65</v>
      </c>
      <c r="I75" s="13">
        <f t="shared" si="84"/>
        <v>478.40000000000003</v>
      </c>
      <c r="J75" s="14">
        <f t="shared" si="75"/>
        <v>2793.0499999999997</v>
      </c>
      <c r="M75" s="54"/>
      <c r="N75" s="55"/>
      <c r="V75" s="74">
        <v>65</v>
      </c>
      <c r="W75" s="74" t="s">
        <v>75</v>
      </c>
      <c r="X75" s="13">
        <v>44.48</v>
      </c>
      <c r="Y75" s="13">
        <v>9.1999999999999993</v>
      </c>
      <c r="Z75" s="13">
        <f t="shared" si="85"/>
        <v>53.679999999999993</v>
      </c>
      <c r="AB75" s="74">
        <v>65</v>
      </c>
      <c r="AC75" s="74" t="s">
        <v>75</v>
      </c>
      <c r="AD75" s="13">
        <v>57.3</v>
      </c>
      <c r="AE75" s="13">
        <v>11.85</v>
      </c>
      <c r="AF75" s="13">
        <f t="shared" si="86"/>
        <v>69.149999999999991</v>
      </c>
      <c r="AH75" s="89">
        <f t="shared" si="4"/>
        <v>-0.37853403141361253</v>
      </c>
      <c r="AI75" s="89">
        <f t="shared" si="20"/>
        <v>-0.37890295358649784</v>
      </c>
      <c r="AJ75" s="89">
        <f t="shared" si="21"/>
        <v>-0.37859725234996378</v>
      </c>
    </row>
    <row r="76" spans="1:36" x14ac:dyDescent="0.3">
      <c r="A76" s="17" t="s">
        <v>167</v>
      </c>
      <c r="B76" s="11" t="s">
        <v>168</v>
      </c>
      <c r="C76" s="12">
        <f t="shared" ref="C76:C78" si="87">V76</f>
        <v>13</v>
      </c>
      <c r="D76" s="41" t="str">
        <f t="shared" ref="D76:D78" si="88">W76</f>
        <v>m</v>
      </c>
      <c r="E76" s="41">
        <f>ROUND((X76*(1-$M$5))*(1+BDI!$C$21),2)</f>
        <v>43.55</v>
      </c>
      <c r="F76" s="41">
        <f>ROUND((Y76*(1-$N$5))*(1+BDI!$C$21),2)</f>
        <v>10.45</v>
      </c>
      <c r="G76" s="41">
        <f t="shared" ref="G76:G78" si="89">F76+E76</f>
        <v>54</v>
      </c>
      <c r="H76" s="13">
        <f t="shared" ref="H76:H78" si="90">C76*E76</f>
        <v>566.15</v>
      </c>
      <c r="I76" s="13">
        <f t="shared" ref="I76:I78" si="91">C76*F76</f>
        <v>135.85</v>
      </c>
      <c r="J76" s="14">
        <f t="shared" ref="J76:J78" si="92">SUM(E76:F76)*C76</f>
        <v>702</v>
      </c>
      <c r="M76" s="54"/>
      <c r="N76" s="56"/>
      <c r="V76" s="74">
        <v>13</v>
      </c>
      <c r="W76" s="74" t="s">
        <v>75</v>
      </c>
      <c r="X76" s="13">
        <v>54.41</v>
      </c>
      <c r="Y76" s="13">
        <v>13.06</v>
      </c>
      <c r="Z76" s="13">
        <f t="shared" ref="Z76:Z78" si="93">SUM(X76:Y76)</f>
        <v>67.47</v>
      </c>
      <c r="AB76" s="74">
        <v>13</v>
      </c>
      <c r="AC76" s="74" t="s">
        <v>75</v>
      </c>
      <c r="AD76" s="13">
        <v>70.09</v>
      </c>
      <c r="AE76" s="13">
        <v>16.82</v>
      </c>
      <c r="AF76" s="13">
        <f t="shared" ref="AF76:AF78" si="94">SUM(AD76:AE76)</f>
        <v>86.91</v>
      </c>
      <c r="AH76" s="89">
        <f t="shared" si="4"/>
        <v>-0.37865601369667579</v>
      </c>
      <c r="AI76" s="89">
        <f t="shared" si="20"/>
        <v>-0.37871581450653991</v>
      </c>
      <c r="AJ76" s="89">
        <f t="shared" si="21"/>
        <v>-0.37866758715913007</v>
      </c>
    </row>
    <row r="77" spans="1:36" x14ac:dyDescent="0.3">
      <c r="A77" s="17" t="s">
        <v>169</v>
      </c>
      <c r="B77" s="11" t="s">
        <v>170</v>
      </c>
      <c r="C77" s="12">
        <f t="shared" si="87"/>
        <v>113</v>
      </c>
      <c r="D77" s="41" t="str">
        <f t="shared" si="88"/>
        <v>m²</v>
      </c>
      <c r="E77" s="41">
        <f>ROUND((X77*(1-$M$5))*(1+BDI!$C$21),2)</f>
        <v>73.88</v>
      </c>
      <c r="F77" s="41">
        <f>ROUND((Y77*(1-$N$5))*(1+BDI!$C$21),2)</f>
        <v>27.56</v>
      </c>
      <c r="G77" s="41">
        <f t="shared" si="89"/>
        <v>101.44</v>
      </c>
      <c r="H77" s="13">
        <f t="shared" si="90"/>
        <v>8348.4399999999987</v>
      </c>
      <c r="I77" s="13">
        <f t="shared" si="91"/>
        <v>3114.2799999999997</v>
      </c>
      <c r="J77" s="14">
        <f t="shared" si="92"/>
        <v>11462.72</v>
      </c>
      <c r="M77" s="54"/>
      <c r="N77" s="56"/>
      <c r="V77" s="74">
        <v>113</v>
      </c>
      <c r="W77" s="74" t="s">
        <v>59</v>
      </c>
      <c r="X77" s="13">
        <v>92.29</v>
      </c>
      <c r="Y77" s="13">
        <v>34.43</v>
      </c>
      <c r="Z77" s="13">
        <f t="shared" si="93"/>
        <v>126.72</v>
      </c>
      <c r="AB77" s="74">
        <v>113</v>
      </c>
      <c r="AC77" s="74" t="s">
        <v>59</v>
      </c>
      <c r="AD77" s="13">
        <v>118.89</v>
      </c>
      <c r="AE77" s="13">
        <v>44.35</v>
      </c>
      <c r="AF77" s="13">
        <f t="shared" si="94"/>
        <v>163.24</v>
      </c>
      <c r="AH77" s="89">
        <f t="shared" si="4"/>
        <v>-0.3785852468668518</v>
      </c>
      <c r="AI77" s="89">
        <f t="shared" si="20"/>
        <v>-0.37857948139797071</v>
      </c>
      <c r="AJ77" s="89">
        <f t="shared" si="21"/>
        <v>-0.37858368047047297</v>
      </c>
    </row>
    <row r="78" spans="1:36" x14ac:dyDescent="0.3">
      <c r="A78" s="17" t="s">
        <v>171</v>
      </c>
      <c r="B78" s="11" t="s">
        <v>172</v>
      </c>
      <c r="C78" s="12">
        <f t="shared" si="87"/>
        <v>50</v>
      </c>
      <c r="D78" s="41" t="str">
        <f t="shared" si="88"/>
        <v>m²</v>
      </c>
      <c r="E78" s="41">
        <f>ROUND((X78*(1-$M$5))*(1+BDI!$C$21),2)</f>
        <v>64.099999999999994</v>
      </c>
      <c r="F78" s="41">
        <f>ROUND((Y78*(1-$N$5))*(1+BDI!$C$21),2)</f>
        <v>107.49</v>
      </c>
      <c r="G78" s="41">
        <f t="shared" si="89"/>
        <v>171.58999999999997</v>
      </c>
      <c r="H78" s="13">
        <f t="shared" si="90"/>
        <v>3204.9999999999995</v>
      </c>
      <c r="I78" s="13">
        <f t="shared" si="91"/>
        <v>5374.5</v>
      </c>
      <c r="J78" s="14">
        <f t="shared" si="92"/>
        <v>8579.4999999999982</v>
      </c>
      <c r="M78" s="54"/>
      <c r="N78" s="56"/>
      <c r="V78" s="74">
        <v>50</v>
      </c>
      <c r="W78" s="74" t="s">
        <v>59</v>
      </c>
      <c r="X78" s="13">
        <v>80.08</v>
      </c>
      <c r="Y78" s="13">
        <v>134.28</v>
      </c>
      <c r="Z78" s="13">
        <f t="shared" si="93"/>
        <v>214.36</v>
      </c>
      <c r="AB78" s="74">
        <v>50</v>
      </c>
      <c r="AC78" s="74" t="s">
        <v>59</v>
      </c>
      <c r="AD78" s="13">
        <v>103.16</v>
      </c>
      <c r="AE78" s="13">
        <v>172.98</v>
      </c>
      <c r="AF78" s="13">
        <f t="shared" si="94"/>
        <v>276.14</v>
      </c>
      <c r="AH78" s="89">
        <f t="shared" si="4"/>
        <v>-0.37863512989530834</v>
      </c>
      <c r="AI78" s="89">
        <f t="shared" si="20"/>
        <v>-0.37859868192854662</v>
      </c>
      <c r="AJ78" s="89">
        <f t="shared" si="21"/>
        <v>-0.37861229810965458</v>
      </c>
    </row>
    <row r="79" spans="1:36" x14ac:dyDescent="0.3">
      <c r="A79" s="17" t="s">
        <v>173</v>
      </c>
      <c r="B79" s="11" t="s">
        <v>1034</v>
      </c>
      <c r="C79" s="12">
        <f t="shared" si="81"/>
        <v>1</v>
      </c>
      <c r="D79" s="41" t="str">
        <f t="shared" si="82"/>
        <v>m²</v>
      </c>
      <c r="E79" s="41">
        <f>ROUND((X79*(1-$M$5))*(1+BDI!$C$21),2)</f>
        <v>2.87</v>
      </c>
      <c r="F79" s="41">
        <f>ROUND((Y79*(1-$N$5))*(1+BDI!$C$21),2)</f>
        <v>6.82</v>
      </c>
      <c r="G79" s="41">
        <f t="shared" si="16"/>
        <v>9.6900000000000013</v>
      </c>
      <c r="H79" s="13">
        <f t="shared" si="83"/>
        <v>2.87</v>
      </c>
      <c r="I79" s="13">
        <f t="shared" si="84"/>
        <v>6.82</v>
      </c>
      <c r="J79" s="14">
        <f t="shared" si="75"/>
        <v>9.6900000000000013</v>
      </c>
      <c r="M79" s="54"/>
      <c r="N79" s="56"/>
      <c r="V79" s="74">
        <v>1</v>
      </c>
      <c r="W79" s="74" t="s">
        <v>59</v>
      </c>
      <c r="X79" s="13">
        <v>3.59</v>
      </c>
      <c r="Y79" s="13">
        <v>8.52</v>
      </c>
      <c r="Z79" s="13">
        <f t="shared" si="85"/>
        <v>12.11</v>
      </c>
      <c r="AB79" s="74">
        <v>1</v>
      </c>
      <c r="AC79" s="74" t="s">
        <v>59</v>
      </c>
      <c r="AD79" s="13">
        <v>4.62</v>
      </c>
      <c r="AE79" s="13">
        <v>10.98</v>
      </c>
      <c r="AF79" s="13">
        <f t="shared" ref="AF79:AF81" si="95">SUM(AD79:AE79)</f>
        <v>15.600000000000001</v>
      </c>
      <c r="AH79" s="89">
        <f t="shared" ref="AH79:AH148" si="96">IF(E79=0,0,(E79/AD79)-1)</f>
        <v>-0.37878787878787878</v>
      </c>
      <c r="AI79" s="89">
        <f t="shared" si="20"/>
        <v>-0.37887067395264118</v>
      </c>
      <c r="AJ79" s="89">
        <f t="shared" si="21"/>
        <v>-0.37884615384615383</v>
      </c>
    </row>
    <row r="80" spans="1:36" x14ac:dyDescent="0.3">
      <c r="A80" s="17" t="s">
        <v>174</v>
      </c>
      <c r="B80" s="11" t="s">
        <v>175</v>
      </c>
      <c r="C80" s="12">
        <f t="shared" si="81"/>
        <v>1</v>
      </c>
      <c r="D80" s="41" t="str">
        <f t="shared" si="82"/>
        <v>m²</v>
      </c>
      <c r="E80" s="41">
        <f>ROUND((X80*(1-$M$5))*(1+BDI!$C$21),2)</f>
        <v>122.12</v>
      </c>
      <c r="F80" s="41">
        <f>ROUND((Y80*(1-$N$5))*(1+BDI!$C$21),2)</f>
        <v>32.64</v>
      </c>
      <c r="G80" s="41">
        <f t="shared" si="16"/>
        <v>154.76</v>
      </c>
      <c r="H80" s="13">
        <f t="shared" si="83"/>
        <v>122.12</v>
      </c>
      <c r="I80" s="13">
        <f t="shared" si="84"/>
        <v>32.64</v>
      </c>
      <c r="J80" s="14">
        <f t="shared" si="75"/>
        <v>154.76</v>
      </c>
      <c r="M80" s="54"/>
      <c r="N80" s="56"/>
      <c r="V80" s="74">
        <v>1</v>
      </c>
      <c r="W80" s="74" t="s">
        <v>59</v>
      </c>
      <c r="X80" s="13">
        <v>152.56</v>
      </c>
      <c r="Y80" s="13">
        <v>40.770000000000003</v>
      </c>
      <c r="Z80" s="13">
        <f t="shared" si="85"/>
        <v>193.33</v>
      </c>
      <c r="AB80" s="74">
        <v>1</v>
      </c>
      <c r="AC80" s="74" t="s">
        <v>59</v>
      </c>
      <c r="AD80" s="13">
        <v>196.53</v>
      </c>
      <c r="AE80" s="13">
        <v>52.52</v>
      </c>
      <c r="AF80" s="13">
        <f t="shared" si="95"/>
        <v>249.05</v>
      </c>
      <c r="AH80" s="89">
        <f t="shared" si="96"/>
        <v>-0.37861904035007377</v>
      </c>
      <c r="AI80" s="89">
        <f t="shared" ref="AI80:AI149" si="97">IF(F80=0,0,(F80/AE80)-1)</f>
        <v>-0.37852246763137853</v>
      </c>
      <c r="AJ80" s="89">
        <f t="shared" ref="AJ80:AJ149" si="98">IF(G80=0,0,(G80/AF80)-1)</f>
        <v>-0.37859867496486654</v>
      </c>
    </row>
    <row r="81" spans="1:36" x14ac:dyDescent="0.3">
      <c r="A81" s="17" t="s">
        <v>176</v>
      </c>
      <c r="B81" s="11" t="s">
        <v>177</v>
      </c>
      <c r="C81" s="12">
        <f t="shared" si="81"/>
        <v>1</v>
      </c>
      <c r="D81" s="41" t="str">
        <f t="shared" si="82"/>
        <v xml:space="preserve">un </v>
      </c>
      <c r="E81" s="41">
        <f>ROUND((X81*(1-$M$5))*(1+BDI!$C$21),2)</f>
        <v>9.4499999999999993</v>
      </c>
      <c r="F81" s="41">
        <f>ROUND((Y81*(1-$N$5))*(1+BDI!$C$21),2)</f>
        <v>6.82</v>
      </c>
      <c r="G81" s="41">
        <f t="shared" si="16"/>
        <v>16.27</v>
      </c>
      <c r="H81" s="13">
        <f t="shared" si="83"/>
        <v>9.4499999999999993</v>
      </c>
      <c r="I81" s="13">
        <f t="shared" si="84"/>
        <v>6.82</v>
      </c>
      <c r="J81" s="14">
        <f t="shared" si="75"/>
        <v>16.27</v>
      </c>
      <c r="M81" s="54"/>
      <c r="N81" s="56"/>
      <c r="V81" s="74">
        <v>1</v>
      </c>
      <c r="W81" s="74" t="s">
        <v>30</v>
      </c>
      <c r="X81" s="13">
        <v>11.81</v>
      </c>
      <c r="Y81" s="13">
        <v>8.52</v>
      </c>
      <c r="Z81" s="13">
        <f t="shared" si="85"/>
        <v>20.329999999999998</v>
      </c>
      <c r="AB81" s="74">
        <v>1</v>
      </c>
      <c r="AC81" s="74" t="s">
        <v>30</v>
      </c>
      <c r="AD81" s="13">
        <v>15.21</v>
      </c>
      <c r="AE81" s="13">
        <v>10.98</v>
      </c>
      <c r="AF81" s="13">
        <f t="shared" si="95"/>
        <v>26.19</v>
      </c>
      <c r="AH81" s="89">
        <f t="shared" si="96"/>
        <v>-0.37869822485207105</v>
      </c>
      <c r="AI81" s="89">
        <f t="shared" si="97"/>
        <v>-0.37887067395264118</v>
      </c>
      <c r="AJ81" s="89">
        <f t="shared" si="98"/>
        <v>-0.37877052310042003</v>
      </c>
    </row>
    <row r="82" spans="1:36" x14ac:dyDescent="0.3">
      <c r="A82" s="15">
        <v>8</v>
      </c>
      <c r="B82" s="16" t="s">
        <v>178</v>
      </c>
      <c r="C82" s="76"/>
      <c r="D82" s="58"/>
      <c r="E82" s="58"/>
      <c r="F82" s="58"/>
      <c r="G82" s="58"/>
      <c r="H82" s="24">
        <f t="shared" ref="H82:I82" si="99">SUM(H83:H89)</f>
        <v>76935.23</v>
      </c>
      <c r="I82" s="24">
        <f t="shared" si="99"/>
        <v>42489.42</v>
      </c>
      <c r="J82" s="24">
        <f>SUM(J83:J89)</f>
        <v>119424.65000000001</v>
      </c>
      <c r="M82" s="54"/>
      <c r="N82" s="56"/>
      <c r="V82" s="75"/>
      <c r="W82" s="75"/>
      <c r="X82" s="23"/>
      <c r="Y82" s="23"/>
      <c r="Z82" s="23"/>
      <c r="AB82" s="75"/>
      <c r="AC82" s="75"/>
      <c r="AD82" s="23"/>
      <c r="AE82" s="23"/>
      <c r="AF82" s="23"/>
      <c r="AH82" s="89">
        <f t="shared" si="96"/>
        <v>0</v>
      </c>
      <c r="AI82" s="89">
        <f t="shared" si="97"/>
        <v>0</v>
      </c>
      <c r="AJ82" s="89">
        <f t="shared" si="98"/>
        <v>0</v>
      </c>
    </row>
    <row r="83" spans="1:36" x14ac:dyDescent="0.3">
      <c r="A83" s="17" t="s">
        <v>179</v>
      </c>
      <c r="B83" s="11" t="s">
        <v>180</v>
      </c>
      <c r="C83" s="12">
        <f t="shared" ref="C83:D89" si="100">V83</f>
        <v>137</v>
      </c>
      <c r="D83" s="41" t="str">
        <f t="shared" si="100"/>
        <v>m²</v>
      </c>
      <c r="E83" s="41">
        <f>ROUND((X83*(1-$M$5))*(1+BDI!$C$21),2)</f>
        <v>17.78</v>
      </c>
      <c r="F83" s="41">
        <f>ROUND((Y83*(1-$N$5))*(1+BDI!$C$21),2)</f>
        <v>18.739999999999998</v>
      </c>
      <c r="G83" s="41">
        <f t="shared" si="16"/>
        <v>36.519999999999996</v>
      </c>
      <c r="H83" s="13">
        <f t="shared" ref="H83:H89" si="101">C83*E83</f>
        <v>2435.86</v>
      </c>
      <c r="I83" s="13">
        <f t="shared" ref="I83:I89" si="102">C83*F83</f>
        <v>2567.3799999999997</v>
      </c>
      <c r="J83" s="14">
        <f t="shared" si="75"/>
        <v>5003.24</v>
      </c>
      <c r="M83" s="54"/>
      <c r="N83" s="56"/>
      <c r="V83" s="74">
        <v>137</v>
      </c>
      <c r="W83" s="74" t="s">
        <v>59</v>
      </c>
      <c r="X83" s="13">
        <v>22.21</v>
      </c>
      <c r="Y83" s="13">
        <v>23.41</v>
      </c>
      <c r="Z83" s="13">
        <f t="shared" ref="Z83:Z89" si="103">SUM(X83:Y83)</f>
        <v>45.620000000000005</v>
      </c>
      <c r="AB83" s="74">
        <v>137</v>
      </c>
      <c r="AC83" s="74" t="s">
        <v>59</v>
      </c>
      <c r="AD83" s="13">
        <v>28.61</v>
      </c>
      <c r="AE83" s="13">
        <v>30.16</v>
      </c>
      <c r="AF83" s="13">
        <f t="shared" ref="AF83:AF86" si="104">SUM(AD83:AE83)</f>
        <v>58.769999999999996</v>
      </c>
      <c r="AH83" s="89">
        <f t="shared" si="96"/>
        <v>-0.37853897238727707</v>
      </c>
      <c r="AI83" s="89">
        <f t="shared" si="97"/>
        <v>-0.37864721485411146</v>
      </c>
      <c r="AJ83" s="89">
        <f t="shared" si="98"/>
        <v>-0.37859452101412283</v>
      </c>
    </row>
    <row r="84" spans="1:36" x14ac:dyDescent="0.3">
      <c r="A84" s="17" t="s">
        <v>181</v>
      </c>
      <c r="B84" s="11" t="s">
        <v>182</v>
      </c>
      <c r="C84" s="12">
        <f t="shared" si="100"/>
        <v>414</v>
      </c>
      <c r="D84" s="41" t="str">
        <f t="shared" si="100"/>
        <v>m²</v>
      </c>
      <c r="E84" s="41">
        <f>ROUND((X84*(1-$M$5))*(1+BDI!$C$21),2)</f>
        <v>64.790000000000006</v>
      </c>
      <c r="F84" s="41">
        <f>ROUND((Y84*(1-$N$5))*(1+BDI!$C$21),2)</f>
        <v>18.25</v>
      </c>
      <c r="G84" s="41">
        <f t="shared" si="16"/>
        <v>83.04</v>
      </c>
      <c r="H84" s="13">
        <f t="shared" si="101"/>
        <v>26823.06</v>
      </c>
      <c r="I84" s="13">
        <f t="shared" si="102"/>
        <v>7555.5</v>
      </c>
      <c r="J84" s="14">
        <f t="shared" si="75"/>
        <v>34378.560000000005</v>
      </c>
      <c r="M84" s="54"/>
      <c r="N84" s="56"/>
      <c r="V84" s="74">
        <v>414</v>
      </c>
      <c r="W84" s="74" t="s">
        <v>59</v>
      </c>
      <c r="X84" s="13">
        <v>80.94</v>
      </c>
      <c r="Y84" s="13">
        <v>22.8</v>
      </c>
      <c r="Z84" s="13">
        <f t="shared" si="103"/>
        <v>103.74</v>
      </c>
      <c r="AB84" s="74">
        <v>414</v>
      </c>
      <c r="AC84" s="74" t="s">
        <v>59</v>
      </c>
      <c r="AD84" s="13">
        <v>104.27</v>
      </c>
      <c r="AE84" s="13">
        <v>29.37</v>
      </c>
      <c r="AF84" s="13">
        <f t="shared" si="104"/>
        <v>133.63999999999999</v>
      </c>
      <c r="AH84" s="89">
        <f t="shared" si="96"/>
        <v>-0.3786323966625107</v>
      </c>
      <c r="AI84" s="89">
        <f t="shared" si="97"/>
        <v>-0.37861763704460338</v>
      </c>
      <c r="AJ84" s="89">
        <f t="shared" si="98"/>
        <v>-0.37862915294821897</v>
      </c>
    </row>
    <row r="85" spans="1:36" ht="28.8" x14ac:dyDescent="0.3">
      <c r="A85" s="17" t="s">
        <v>183</v>
      </c>
      <c r="B85" s="11" t="s">
        <v>184</v>
      </c>
      <c r="C85" s="12">
        <f t="shared" si="100"/>
        <v>262</v>
      </c>
      <c r="D85" s="41" t="str">
        <f t="shared" si="100"/>
        <v>m²</v>
      </c>
      <c r="E85" s="41">
        <f>ROUND((X85*(1-$M$5))*(1+BDI!$C$21),2)</f>
        <v>73.52</v>
      </c>
      <c r="F85" s="41">
        <f>ROUND((Y85*(1-$N$5))*(1+BDI!$C$21),2)</f>
        <v>27.14</v>
      </c>
      <c r="G85" s="41">
        <f t="shared" si="16"/>
        <v>100.66</v>
      </c>
      <c r="H85" s="13">
        <f t="shared" si="101"/>
        <v>19262.239999999998</v>
      </c>
      <c r="I85" s="13">
        <f t="shared" si="102"/>
        <v>7110.68</v>
      </c>
      <c r="J85" s="14">
        <f t="shared" si="75"/>
        <v>26372.92</v>
      </c>
      <c r="M85" s="54"/>
      <c r="N85" s="56"/>
      <c r="V85" s="74">
        <v>262</v>
      </c>
      <c r="W85" s="74" t="s">
        <v>59</v>
      </c>
      <c r="X85" s="13">
        <v>91.84</v>
      </c>
      <c r="Y85" s="13">
        <v>33.9</v>
      </c>
      <c r="Z85" s="13">
        <f t="shared" si="103"/>
        <v>125.74000000000001</v>
      </c>
      <c r="AB85" s="74">
        <v>262</v>
      </c>
      <c r="AC85" s="74" t="s">
        <v>59</v>
      </c>
      <c r="AD85" s="13">
        <v>118.31</v>
      </c>
      <c r="AE85" s="13">
        <v>43.67</v>
      </c>
      <c r="AF85" s="13">
        <f t="shared" si="104"/>
        <v>161.98000000000002</v>
      </c>
      <c r="AH85" s="89">
        <f t="shared" si="96"/>
        <v>-0.37858169216465221</v>
      </c>
      <c r="AI85" s="89">
        <f t="shared" si="97"/>
        <v>-0.37852072360888478</v>
      </c>
      <c r="AJ85" s="89">
        <f t="shared" si="98"/>
        <v>-0.37856525496974947</v>
      </c>
    </row>
    <row r="86" spans="1:36" ht="28.8" x14ac:dyDescent="0.3">
      <c r="A86" s="17" t="s">
        <v>185</v>
      </c>
      <c r="B86" s="11" t="s">
        <v>1035</v>
      </c>
      <c r="C86" s="12">
        <f t="shared" si="100"/>
        <v>210</v>
      </c>
      <c r="D86" s="41" t="str">
        <f t="shared" si="100"/>
        <v>m²</v>
      </c>
      <c r="E86" s="41">
        <f>ROUND((X86*(1-$M$5))*(1+BDI!$C$21),2)</f>
        <v>42</v>
      </c>
      <c r="F86" s="41">
        <f>ROUND((Y86*(1-$N$5))*(1+BDI!$C$21),2)</f>
        <v>17.989999999999998</v>
      </c>
      <c r="G86" s="41">
        <f t="shared" si="16"/>
        <v>59.989999999999995</v>
      </c>
      <c r="H86" s="13">
        <f t="shared" si="101"/>
        <v>8820</v>
      </c>
      <c r="I86" s="13">
        <f t="shared" si="102"/>
        <v>3777.8999999999996</v>
      </c>
      <c r="J86" s="14">
        <f t="shared" si="75"/>
        <v>12597.9</v>
      </c>
      <c r="M86" s="54"/>
      <c r="N86" s="56"/>
      <c r="V86" s="74">
        <v>210</v>
      </c>
      <c r="W86" s="74" t="s">
        <v>59</v>
      </c>
      <c r="X86" s="13">
        <v>52.47</v>
      </c>
      <c r="Y86" s="13">
        <v>22.48</v>
      </c>
      <c r="Z86" s="13">
        <f t="shared" si="103"/>
        <v>74.95</v>
      </c>
      <c r="AB86" s="74">
        <v>210</v>
      </c>
      <c r="AC86" s="74" t="s">
        <v>59</v>
      </c>
      <c r="AD86" s="13">
        <v>67.59</v>
      </c>
      <c r="AE86" s="13">
        <v>28.96</v>
      </c>
      <c r="AF86" s="13">
        <f t="shared" si="104"/>
        <v>96.550000000000011</v>
      </c>
      <c r="AH86" s="89">
        <f t="shared" si="96"/>
        <v>-0.37860630270750117</v>
      </c>
      <c r="AI86" s="89">
        <f t="shared" si="97"/>
        <v>-0.37879834254143652</v>
      </c>
      <c r="AJ86" s="89">
        <f t="shared" si="98"/>
        <v>-0.37866390471258426</v>
      </c>
    </row>
    <row r="87" spans="1:36" x14ac:dyDescent="0.3">
      <c r="A87" s="17" t="s">
        <v>186</v>
      </c>
      <c r="B87" s="11" t="s">
        <v>187</v>
      </c>
      <c r="C87" s="12">
        <f t="shared" si="100"/>
        <v>424</v>
      </c>
      <c r="D87" s="41" t="str">
        <f t="shared" si="100"/>
        <v>m²</v>
      </c>
      <c r="E87" s="41">
        <f>ROUND((X87*(1-$M$5))*(1+BDI!$C$21),2)</f>
        <v>44.82</v>
      </c>
      <c r="F87" s="41">
        <f>ROUND((Y87*(1-$N$5))*(1+BDI!$C$21),2)</f>
        <v>48.64</v>
      </c>
      <c r="G87" s="41">
        <f t="shared" ref="G87" si="105">F87+E87</f>
        <v>93.460000000000008</v>
      </c>
      <c r="H87" s="13">
        <f t="shared" ref="H87" si="106">C87*E87</f>
        <v>19003.68</v>
      </c>
      <c r="I87" s="13">
        <f t="shared" ref="I87" si="107">C87*F87</f>
        <v>20623.36</v>
      </c>
      <c r="J87" s="14">
        <f t="shared" ref="J87" si="108">SUM(E87:F87)*C87</f>
        <v>39627.040000000001</v>
      </c>
      <c r="M87" s="54"/>
      <c r="N87" s="56"/>
      <c r="V87" s="74">
        <v>424</v>
      </c>
      <c r="W87" s="74" t="s">
        <v>59</v>
      </c>
      <c r="X87" s="13">
        <v>55.99</v>
      </c>
      <c r="Y87" s="13">
        <v>60.76</v>
      </c>
      <c r="Z87" s="13">
        <f t="shared" ref="Z87" si="109">SUM(X87:Y87)</f>
        <v>116.75</v>
      </c>
      <c r="AB87" s="74">
        <v>424</v>
      </c>
      <c r="AC87" s="74" t="s">
        <v>59</v>
      </c>
      <c r="AD87" s="13">
        <v>72.13</v>
      </c>
      <c r="AE87" s="13">
        <v>78.27</v>
      </c>
      <c r="AF87" s="13">
        <f t="shared" ref="AF87" si="110">SUM(AD87:AE87)</f>
        <v>150.39999999999998</v>
      </c>
      <c r="AH87" s="89">
        <f t="shared" si="96"/>
        <v>-0.37862193262165533</v>
      </c>
      <c r="AI87" s="89">
        <f t="shared" si="97"/>
        <v>-0.37856139006004852</v>
      </c>
      <c r="AJ87" s="89">
        <f t="shared" si="98"/>
        <v>-0.3785904255319148</v>
      </c>
    </row>
    <row r="88" spans="1:36" x14ac:dyDescent="0.3">
      <c r="A88" s="17" t="s">
        <v>188</v>
      </c>
      <c r="B88" s="11" t="s">
        <v>189</v>
      </c>
      <c r="C88" s="12">
        <f t="shared" si="100"/>
        <v>60</v>
      </c>
      <c r="D88" s="41" t="str">
        <f t="shared" si="100"/>
        <v>m²</v>
      </c>
      <c r="E88" s="41">
        <f>ROUND((X88*(1-$M$5))*(1+BDI!$C$21),2)</f>
        <v>7.9</v>
      </c>
      <c r="F88" s="41">
        <f>ROUND((Y88*(1-$N$5))*(1+BDI!$C$21),2)</f>
        <v>13.9</v>
      </c>
      <c r="G88" s="41">
        <f t="shared" si="16"/>
        <v>21.8</v>
      </c>
      <c r="H88" s="13">
        <f t="shared" si="101"/>
        <v>474</v>
      </c>
      <c r="I88" s="13">
        <f t="shared" si="102"/>
        <v>834</v>
      </c>
      <c r="J88" s="14">
        <f t="shared" si="75"/>
        <v>1308</v>
      </c>
      <c r="M88" s="54"/>
      <c r="N88" s="56"/>
      <c r="V88" s="74">
        <v>60</v>
      </c>
      <c r="W88" s="74" t="s">
        <v>59</v>
      </c>
      <c r="X88" s="13">
        <v>9.8699999999999992</v>
      </c>
      <c r="Y88" s="13">
        <v>17.36</v>
      </c>
      <c r="Z88" s="13">
        <f t="shared" si="103"/>
        <v>27.229999999999997</v>
      </c>
      <c r="AB88" s="74">
        <v>60</v>
      </c>
      <c r="AC88" s="74" t="s">
        <v>59</v>
      </c>
      <c r="AD88" s="13">
        <v>12.71</v>
      </c>
      <c r="AE88" s="13">
        <v>22.36</v>
      </c>
      <c r="AF88" s="13">
        <f t="shared" ref="AF88:AF89" si="111">SUM(AD88:AE88)</f>
        <v>35.07</v>
      </c>
      <c r="AH88" s="89">
        <f t="shared" si="96"/>
        <v>-0.37844217151848936</v>
      </c>
      <c r="AI88" s="89">
        <f t="shared" si="97"/>
        <v>-0.37835420393559926</v>
      </c>
      <c r="AJ88" s="89">
        <f t="shared" si="98"/>
        <v>-0.37838608497291126</v>
      </c>
    </row>
    <row r="89" spans="1:36" x14ac:dyDescent="0.3">
      <c r="A89" s="17" t="s">
        <v>190</v>
      </c>
      <c r="B89" s="11" t="s">
        <v>191</v>
      </c>
      <c r="C89" s="12">
        <f t="shared" si="100"/>
        <v>1</v>
      </c>
      <c r="D89" s="41" t="str">
        <f t="shared" si="100"/>
        <v>m²</v>
      </c>
      <c r="E89" s="41">
        <f>ROUND((X89*(1-$M$5))*(1+BDI!$C$21),2)</f>
        <v>116.39</v>
      </c>
      <c r="F89" s="41">
        <f>ROUND((Y89*(1-$N$5))*(1+BDI!$C$21),2)</f>
        <v>20.6</v>
      </c>
      <c r="G89" s="41">
        <f t="shared" si="16"/>
        <v>136.99</v>
      </c>
      <c r="H89" s="13">
        <f t="shared" si="101"/>
        <v>116.39</v>
      </c>
      <c r="I89" s="13">
        <f t="shared" si="102"/>
        <v>20.6</v>
      </c>
      <c r="J89" s="14">
        <f t="shared" si="75"/>
        <v>136.99</v>
      </c>
      <c r="M89" s="54"/>
      <c r="N89" s="56"/>
      <c r="V89" s="74">
        <v>1</v>
      </c>
      <c r="W89" s="74" t="s">
        <v>59</v>
      </c>
      <c r="X89" s="13">
        <v>145.4</v>
      </c>
      <c r="Y89" s="13">
        <v>25.74</v>
      </c>
      <c r="Z89" s="13">
        <f t="shared" si="103"/>
        <v>171.14000000000001</v>
      </c>
      <c r="AB89" s="74">
        <v>1</v>
      </c>
      <c r="AC89" s="74" t="s">
        <v>59</v>
      </c>
      <c r="AD89" s="13">
        <v>187.3</v>
      </c>
      <c r="AE89" s="13">
        <v>33.159999999999997</v>
      </c>
      <c r="AF89" s="13">
        <f t="shared" si="111"/>
        <v>220.46</v>
      </c>
      <c r="AH89" s="89">
        <f t="shared" si="96"/>
        <v>-0.37859049652963161</v>
      </c>
      <c r="AI89" s="89">
        <f t="shared" si="97"/>
        <v>-0.37876960193003606</v>
      </c>
      <c r="AJ89" s="89">
        <f t="shared" si="98"/>
        <v>-0.37861743626961808</v>
      </c>
    </row>
    <row r="90" spans="1:36" x14ac:dyDescent="0.3">
      <c r="A90" s="15">
        <v>9</v>
      </c>
      <c r="B90" s="16" t="s">
        <v>192</v>
      </c>
      <c r="C90" s="76"/>
      <c r="D90" s="58"/>
      <c r="E90" s="58"/>
      <c r="F90" s="58"/>
      <c r="G90" s="58"/>
      <c r="H90" s="23">
        <v>0</v>
      </c>
      <c r="I90" s="23">
        <v>0</v>
      </c>
      <c r="J90" s="24">
        <v>0</v>
      </c>
      <c r="M90" s="54"/>
      <c r="N90" s="56"/>
      <c r="V90" s="75"/>
      <c r="W90" s="75"/>
      <c r="X90" s="23"/>
      <c r="Y90" s="23"/>
      <c r="Z90" s="23"/>
      <c r="AB90" s="75"/>
      <c r="AC90" s="75"/>
      <c r="AD90" s="23"/>
      <c r="AE90" s="23"/>
      <c r="AF90" s="23"/>
      <c r="AH90" s="89">
        <f t="shared" si="96"/>
        <v>0</v>
      </c>
      <c r="AI90" s="89">
        <f t="shared" si="97"/>
        <v>0</v>
      </c>
      <c r="AJ90" s="89">
        <f t="shared" si="98"/>
        <v>0</v>
      </c>
    </row>
    <row r="91" spans="1:36" x14ac:dyDescent="0.3">
      <c r="A91" s="15">
        <v>10</v>
      </c>
      <c r="B91" s="16" t="s">
        <v>193</v>
      </c>
      <c r="C91" s="76"/>
      <c r="D91" s="58"/>
      <c r="E91" s="58"/>
      <c r="F91" s="58"/>
      <c r="G91" s="58"/>
      <c r="H91" s="24">
        <f t="shared" ref="H91:I91" si="112">SUM(H92:H115)</f>
        <v>410711.46</v>
      </c>
      <c r="I91" s="24">
        <f t="shared" si="112"/>
        <v>29774.289999999997</v>
      </c>
      <c r="J91" s="24">
        <f>SUM(J92:J115)</f>
        <v>440485.75</v>
      </c>
      <c r="M91" s="54"/>
      <c r="N91" s="55"/>
      <c r="V91" s="75"/>
      <c r="W91" s="75"/>
      <c r="X91" s="23"/>
      <c r="Y91" s="23"/>
      <c r="Z91" s="23"/>
      <c r="AB91" s="75"/>
      <c r="AC91" s="75"/>
      <c r="AD91" s="23"/>
      <c r="AE91" s="23"/>
      <c r="AF91" s="23"/>
      <c r="AH91" s="89">
        <f t="shared" si="96"/>
        <v>0</v>
      </c>
      <c r="AI91" s="89">
        <f t="shared" si="97"/>
        <v>0</v>
      </c>
      <c r="AJ91" s="89">
        <f t="shared" si="98"/>
        <v>0</v>
      </c>
    </row>
    <row r="92" spans="1:36" x14ac:dyDescent="0.3">
      <c r="A92" s="17" t="s">
        <v>194</v>
      </c>
      <c r="B92" s="11" t="s">
        <v>195</v>
      </c>
      <c r="C92" s="12">
        <f t="shared" ref="C92:C115" si="113">V92</f>
        <v>416</v>
      </c>
      <c r="D92" s="41" t="str">
        <f t="shared" ref="D92:D115" si="114">W92</f>
        <v>m²</v>
      </c>
      <c r="E92" s="41">
        <f>ROUND((X92*(1-$M$5))*(1+BDI!$C$21),2)</f>
        <v>10.75</v>
      </c>
      <c r="F92" s="41">
        <f>ROUND((Y92*(1-$N$5))*(1+BDI!$C$21),2)</f>
        <v>11.33</v>
      </c>
      <c r="G92" s="41">
        <f t="shared" ref="G92:G167" si="115">F92+E92</f>
        <v>22.08</v>
      </c>
      <c r="H92" s="13">
        <f t="shared" ref="H92:H115" si="116">C92*E92</f>
        <v>4472</v>
      </c>
      <c r="I92" s="13">
        <f t="shared" ref="I92:I115" si="117">C92*F92</f>
        <v>4713.28</v>
      </c>
      <c r="J92" s="14">
        <f t="shared" ref="J92:J167" si="118">SUM(E92:F92)*C92</f>
        <v>9185.2799999999988</v>
      </c>
      <c r="M92" s="54"/>
      <c r="N92" s="55"/>
      <c r="V92" s="74">
        <v>416</v>
      </c>
      <c r="W92" s="74" t="s">
        <v>59</v>
      </c>
      <c r="X92" s="13">
        <v>13.43</v>
      </c>
      <c r="Y92" s="13">
        <v>14.15</v>
      </c>
      <c r="Z92" s="13">
        <f t="shared" ref="Z92:Z115" si="119">SUM(X92:Y92)</f>
        <v>27.58</v>
      </c>
      <c r="AB92" s="74">
        <v>416</v>
      </c>
      <c r="AC92" s="74" t="s">
        <v>59</v>
      </c>
      <c r="AD92" s="13">
        <v>17.3</v>
      </c>
      <c r="AE92" s="13">
        <v>18.23</v>
      </c>
      <c r="AF92" s="13">
        <f t="shared" ref="AF92:AF115" si="120">SUM(AD92:AE92)</f>
        <v>35.53</v>
      </c>
      <c r="AH92" s="89">
        <f t="shared" si="96"/>
        <v>-0.37861271676300579</v>
      </c>
      <c r="AI92" s="89">
        <f t="shared" si="97"/>
        <v>-0.37849698299506307</v>
      </c>
      <c r="AJ92" s="89">
        <f t="shared" si="98"/>
        <v>-0.37855333520968204</v>
      </c>
    </row>
    <row r="93" spans="1:36" x14ac:dyDescent="0.3">
      <c r="A93" s="17" t="s">
        <v>196</v>
      </c>
      <c r="B93" s="11" t="s">
        <v>197</v>
      </c>
      <c r="C93" s="12">
        <f t="shared" si="113"/>
        <v>336</v>
      </c>
      <c r="D93" s="41" t="str">
        <f t="shared" si="114"/>
        <v>m²</v>
      </c>
      <c r="E93" s="41">
        <f>ROUND((X93*(1-$M$5))*(1+BDI!$C$21),2)</f>
        <v>14.51</v>
      </c>
      <c r="F93" s="41">
        <f>ROUND((Y93*(1-$N$5))*(1+BDI!$C$21),2)</f>
        <v>18.12</v>
      </c>
      <c r="G93" s="41">
        <f t="shared" si="115"/>
        <v>32.630000000000003</v>
      </c>
      <c r="H93" s="13">
        <f t="shared" si="116"/>
        <v>4875.3599999999997</v>
      </c>
      <c r="I93" s="13">
        <f t="shared" si="117"/>
        <v>6088.3200000000006</v>
      </c>
      <c r="J93" s="14">
        <f t="shared" si="118"/>
        <v>10963.68</v>
      </c>
      <c r="M93" s="54"/>
      <c r="N93" s="56"/>
      <c r="V93" s="74">
        <v>336</v>
      </c>
      <c r="W93" s="74" t="s">
        <v>59</v>
      </c>
      <c r="X93" s="13">
        <v>18.13</v>
      </c>
      <c r="Y93" s="13">
        <v>22.64</v>
      </c>
      <c r="Z93" s="13">
        <f t="shared" si="119"/>
        <v>40.769999999999996</v>
      </c>
      <c r="AB93" s="74">
        <v>336</v>
      </c>
      <c r="AC93" s="74" t="s">
        <v>59</v>
      </c>
      <c r="AD93" s="13">
        <v>23.36</v>
      </c>
      <c r="AE93" s="13">
        <v>29.16</v>
      </c>
      <c r="AF93" s="13">
        <f t="shared" si="120"/>
        <v>52.519999999999996</v>
      </c>
      <c r="AH93" s="89">
        <f t="shared" si="96"/>
        <v>-0.3788527397260274</v>
      </c>
      <c r="AI93" s="89">
        <f t="shared" si="97"/>
        <v>-0.37860082304526743</v>
      </c>
      <c r="AJ93" s="89">
        <f t="shared" si="98"/>
        <v>-0.37871287128712861</v>
      </c>
    </row>
    <row r="94" spans="1:36" x14ac:dyDescent="0.3">
      <c r="A94" s="17" t="s">
        <v>198</v>
      </c>
      <c r="B94" s="11" t="s">
        <v>199</v>
      </c>
      <c r="C94" s="12">
        <f t="shared" si="113"/>
        <v>17</v>
      </c>
      <c r="D94" s="41" t="str">
        <f t="shared" si="114"/>
        <v>m²</v>
      </c>
      <c r="E94" s="41">
        <f>ROUND((X94*(1-$M$5))*(1+BDI!$C$21),2)</f>
        <v>361.48</v>
      </c>
      <c r="F94" s="41">
        <f>ROUND((Y94*(1-$N$5))*(1+BDI!$C$21),2)</f>
        <v>41.87</v>
      </c>
      <c r="G94" s="41">
        <f t="shared" si="115"/>
        <v>403.35</v>
      </c>
      <c r="H94" s="13">
        <f t="shared" si="116"/>
        <v>6145.16</v>
      </c>
      <c r="I94" s="13">
        <f t="shared" si="117"/>
        <v>711.79</v>
      </c>
      <c r="J94" s="14">
        <f t="shared" si="118"/>
        <v>6856.9500000000007</v>
      </c>
      <c r="M94" s="54"/>
      <c r="N94" s="56"/>
      <c r="V94" s="74">
        <v>17</v>
      </c>
      <c r="W94" s="74" t="s">
        <v>59</v>
      </c>
      <c r="X94" s="13">
        <v>451.57</v>
      </c>
      <c r="Y94" s="13">
        <v>52.3</v>
      </c>
      <c r="Z94" s="13">
        <f t="shared" si="119"/>
        <v>503.87</v>
      </c>
      <c r="AB94" s="74">
        <v>17</v>
      </c>
      <c r="AC94" s="74" t="s">
        <v>59</v>
      </c>
      <c r="AD94" s="13">
        <v>581.71</v>
      </c>
      <c r="AE94" s="13">
        <v>67.37</v>
      </c>
      <c r="AF94" s="13">
        <f t="shared" si="120"/>
        <v>649.08000000000004</v>
      </c>
      <c r="AH94" s="89">
        <f t="shared" si="96"/>
        <v>-0.37859070670952877</v>
      </c>
      <c r="AI94" s="89">
        <f t="shared" si="97"/>
        <v>-0.37850675374795906</v>
      </c>
      <c r="AJ94" s="89">
        <f t="shared" si="98"/>
        <v>-0.37858199297467188</v>
      </c>
    </row>
    <row r="95" spans="1:36" x14ac:dyDescent="0.3">
      <c r="A95" s="17" t="s">
        <v>200</v>
      </c>
      <c r="B95" s="11" t="s">
        <v>201</v>
      </c>
      <c r="C95" s="12">
        <f t="shared" si="113"/>
        <v>26</v>
      </c>
      <c r="D95" s="41" t="str">
        <f t="shared" si="114"/>
        <v>m</v>
      </c>
      <c r="E95" s="41">
        <f>ROUND((X95*(1-$M$5))*(1+BDI!$C$21),2)</f>
        <v>59.76</v>
      </c>
      <c r="F95" s="41">
        <f>ROUND((Y95*(1-$N$5))*(1+BDI!$C$21),2)</f>
        <v>10.55</v>
      </c>
      <c r="G95" s="41">
        <f t="shared" si="115"/>
        <v>70.31</v>
      </c>
      <c r="H95" s="13">
        <f t="shared" si="116"/>
        <v>1553.76</v>
      </c>
      <c r="I95" s="13">
        <f t="shared" si="117"/>
        <v>274.3</v>
      </c>
      <c r="J95" s="14">
        <f t="shared" si="118"/>
        <v>1828.06</v>
      </c>
      <c r="M95" s="54"/>
      <c r="N95" s="56"/>
      <c r="V95" s="74">
        <v>26</v>
      </c>
      <c r="W95" s="74" t="s">
        <v>75</v>
      </c>
      <c r="X95" s="13">
        <v>74.66</v>
      </c>
      <c r="Y95" s="13">
        <v>13.18</v>
      </c>
      <c r="Z95" s="13">
        <f t="shared" si="119"/>
        <v>87.84</v>
      </c>
      <c r="AB95" s="74">
        <v>26</v>
      </c>
      <c r="AC95" s="74" t="s">
        <v>75</v>
      </c>
      <c r="AD95" s="13">
        <v>96.18</v>
      </c>
      <c r="AE95" s="13">
        <v>16.98</v>
      </c>
      <c r="AF95" s="13">
        <f t="shared" si="120"/>
        <v>113.16000000000001</v>
      </c>
      <c r="AH95" s="89">
        <f t="shared" si="96"/>
        <v>-0.37866500311915163</v>
      </c>
      <c r="AI95" s="89">
        <f t="shared" si="97"/>
        <v>-0.37868080094228507</v>
      </c>
      <c r="AJ95" s="89">
        <f t="shared" si="98"/>
        <v>-0.37866737363025804</v>
      </c>
    </row>
    <row r="96" spans="1:36" x14ac:dyDescent="0.3">
      <c r="A96" s="17" t="s">
        <v>202</v>
      </c>
      <c r="B96" s="11" t="s">
        <v>203</v>
      </c>
      <c r="C96" s="12">
        <f t="shared" si="113"/>
        <v>7</v>
      </c>
      <c r="D96" s="41" t="str">
        <f t="shared" si="114"/>
        <v>m</v>
      </c>
      <c r="E96" s="41">
        <f>ROUND((X96*(1-$M$5))*(1+BDI!$C$21),2)</f>
        <v>81.34</v>
      </c>
      <c r="F96" s="41">
        <f>ROUND((Y96*(1-$N$5))*(1+BDI!$C$21),2)</f>
        <v>19.27</v>
      </c>
      <c r="G96" s="41">
        <f t="shared" si="115"/>
        <v>100.61</v>
      </c>
      <c r="H96" s="13">
        <f t="shared" si="116"/>
        <v>569.38</v>
      </c>
      <c r="I96" s="13">
        <f t="shared" si="117"/>
        <v>134.88999999999999</v>
      </c>
      <c r="J96" s="14">
        <f t="shared" si="118"/>
        <v>704.27</v>
      </c>
      <c r="M96" s="54"/>
      <c r="N96" s="56"/>
      <c r="V96" s="74">
        <v>7</v>
      </c>
      <c r="W96" s="74" t="s">
        <v>75</v>
      </c>
      <c r="X96" s="13">
        <v>101.61</v>
      </c>
      <c r="Y96" s="13">
        <v>24.07</v>
      </c>
      <c r="Z96" s="13">
        <f t="shared" si="119"/>
        <v>125.68</v>
      </c>
      <c r="AB96" s="74">
        <v>7</v>
      </c>
      <c r="AC96" s="74" t="s">
        <v>75</v>
      </c>
      <c r="AD96" s="13">
        <v>130.88999999999999</v>
      </c>
      <c r="AE96" s="13">
        <v>31.01</v>
      </c>
      <c r="AF96" s="13">
        <f t="shared" si="120"/>
        <v>161.89999999999998</v>
      </c>
      <c r="AH96" s="89">
        <f t="shared" si="96"/>
        <v>-0.37856215142486049</v>
      </c>
      <c r="AI96" s="89">
        <f t="shared" si="97"/>
        <v>-0.3785875524024509</v>
      </c>
      <c r="AJ96" s="89">
        <f t="shared" si="98"/>
        <v>-0.37856701667696102</v>
      </c>
    </row>
    <row r="97" spans="1:36" x14ac:dyDescent="0.3">
      <c r="A97" s="17" t="s">
        <v>204</v>
      </c>
      <c r="B97" s="11" t="s">
        <v>205</v>
      </c>
      <c r="C97" s="12">
        <f t="shared" si="113"/>
        <v>1</v>
      </c>
      <c r="D97" s="41" t="str">
        <f t="shared" si="114"/>
        <v>m²</v>
      </c>
      <c r="E97" s="41">
        <f>ROUND((X97*(1-$M$5))*(1+BDI!$C$21),2)</f>
        <v>669.24</v>
      </c>
      <c r="F97" s="41">
        <f>ROUND((Y97*(1-$N$5))*(1+BDI!$C$21),2)</f>
        <v>41.87</v>
      </c>
      <c r="G97" s="41">
        <f t="shared" si="115"/>
        <v>711.11</v>
      </c>
      <c r="H97" s="13">
        <f t="shared" si="116"/>
        <v>669.24</v>
      </c>
      <c r="I97" s="13">
        <f t="shared" si="117"/>
        <v>41.87</v>
      </c>
      <c r="J97" s="14">
        <f t="shared" si="118"/>
        <v>711.11</v>
      </c>
      <c r="M97" s="54"/>
      <c r="N97" s="56"/>
      <c r="V97" s="74">
        <v>1</v>
      </c>
      <c r="W97" s="74" t="s">
        <v>59</v>
      </c>
      <c r="X97" s="13">
        <v>836.04</v>
      </c>
      <c r="Y97" s="13">
        <v>52.3</v>
      </c>
      <c r="Z97" s="13">
        <f t="shared" si="119"/>
        <v>888.33999999999992</v>
      </c>
      <c r="AB97" s="74">
        <v>1</v>
      </c>
      <c r="AC97" s="74" t="s">
        <v>59</v>
      </c>
      <c r="AD97" s="13">
        <v>1076.99</v>
      </c>
      <c r="AE97" s="13">
        <v>67.37</v>
      </c>
      <c r="AF97" s="13">
        <f t="shared" si="120"/>
        <v>1144.3600000000001</v>
      </c>
      <c r="AH97" s="89">
        <f t="shared" si="96"/>
        <v>-0.37860147262277277</v>
      </c>
      <c r="AI97" s="89">
        <f t="shared" si="97"/>
        <v>-0.37850675374795906</v>
      </c>
      <c r="AJ97" s="89">
        <f t="shared" si="98"/>
        <v>-0.37859589639623903</v>
      </c>
    </row>
    <row r="98" spans="1:36" x14ac:dyDescent="0.3">
      <c r="A98" s="17" t="s">
        <v>206</v>
      </c>
      <c r="B98" s="11" t="s">
        <v>207</v>
      </c>
      <c r="C98" s="12">
        <f t="shared" si="113"/>
        <v>1</v>
      </c>
      <c r="D98" s="41" t="str">
        <f t="shared" si="114"/>
        <v>m</v>
      </c>
      <c r="E98" s="41">
        <f>ROUND((X98*(1-$M$5))*(1+BDI!$C$21),2)</f>
        <v>63.95</v>
      </c>
      <c r="F98" s="41">
        <f>ROUND((Y98*(1-$N$5))*(1+BDI!$C$21),2)</f>
        <v>10.55</v>
      </c>
      <c r="G98" s="41">
        <f t="shared" si="115"/>
        <v>74.5</v>
      </c>
      <c r="H98" s="13">
        <f t="shared" si="116"/>
        <v>63.95</v>
      </c>
      <c r="I98" s="13">
        <f t="shared" si="117"/>
        <v>10.55</v>
      </c>
      <c r="J98" s="14">
        <f t="shared" si="118"/>
        <v>74.5</v>
      </c>
      <c r="M98" s="54"/>
      <c r="N98" s="56"/>
      <c r="V98" s="74">
        <v>1</v>
      </c>
      <c r="W98" s="74" t="s">
        <v>75</v>
      </c>
      <c r="X98" s="13">
        <v>79.89</v>
      </c>
      <c r="Y98" s="13">
        <v>13.18</v>
      </c>
      <c r="Z98" s="13">
        <f t="shared" si="119"/>
        <v>93.07</v>
      </c>
      <c r="AB98" s="74">
        <v>1</v>
      </c>
      <c r="AC98" s="74" t="s">
        <v>75</v>
      </c>
      <c r="AD98" s="13">
        <v>102.91</v>
      </c>
      <c r="AE98" s="13">
        <v>16.98</v>
      </c>
      <c r="AF98" s="13">
        <f t="shared" si="120"/>
        <v>119.89</v>
      </c>
      <c r="AH98" s="89">
        <f t="shared" si="96"/>
        <v>-0.37858322806335631</v>
      </c>
      <c r="AI98" s="89">
        <f t="shared" si="97"/>
        <v>-0.37868080094228507</v>
      </c>
      <c r="AJ98" s="89">
        <f t="shared" si="98"/>
        <v>-0.3785970472933522</v>
      </c>
    </row>
    <row r="99" spans="1:36" x14ac:dyDescent="0.3">
      <c r="A99" s="17" t="s">
        <v>208</v>
      </c>
      <c r="B99" s="11" t="s">
        <v>209</v>
      </c>
      <c r="C99" s="12">
        <f t="shared" si="113"/>
        <v>12</v>
      </c>
      <c r="D99" s="41" t="str">
        <f t="shared" si="114"/>
        <v>m²</v>
      </c>
      <c r="E99" s="41">
        <f>ROUND((X99*(1-$M$5))*(1+BDI!$C$21),2)</f>
        <v>54.75</v>
      </c>
      <c r="F99" s="41">
        <f>ROUND((Y99*(1-$N$5))*(1+BDI!$C$21),2)</f>
        <v>7.2</v>
      </c>
      <c r="G99" s="41">
        <f t="shared" si="115"/>
        <v>61.95</v>
      </c>
      <c r="H99" s="13">
        <f t="shared" si="116"/>
        <v>657</v>
      </c>
      <c r="I99" s="13">
        <f t="shared" si="117"/>
        <v>86.4</v>
      </c>
      <c r="J99" s="14">
        <f t="shared" si="118"/>
        <v>743.40000000000009</v>
      </c>
      <c r="M99" s="54"/>
      <c r="N99" s="55"/>
      <c r="V99" s="74">
        <v>12</v>
      </c>
      <c r="W99" s="74" t="s">
        <v>59</v>
      </c>
      <c r="X99" s="13">
        <v>68.400000000000006</v>
      </c>
      <c r="Y99" s="13">
        <v>8.99</v>
      </c>
      <c r="Z99" s="13">
        <f t="shared" si="119"/>
        <v>77.39</v>
      </c>
      <c r="AB99" s="74">
        <v>12</v>
      </c>
      <c r="AC99" s="74" t="s">
        <v>59</v>
      </c>
      <c r="AD99" s="13">
        <v>88.11</v>
      </c>
      <c r="AE99" s="13">
        <v>11.58</v>
      </c>
      <c r="AF99" s="13">
        <f t="shared" si="120"/>
        <v>99.69</v>
      </c>
      <c r="AH99" s="89">
        <f t="shared" si="96"/>
        <v>-0.37861763704460338</v>
      </c>
      <c r="AI99" s="89">
        <f t="shared" si="97"/>
        <v>-0.37823834196891193</v>
      </c>
      <c r="AJ99" s="89">
        <f t="shared" si="98"/>
        <v>-0.37857357809208547</v>
      </c>
    </row>
    <row r="100" spans="1:36" x14ac:dyDescent="0.3">
      <c r="A100" s="17" t="s">
        <v>210</v>
      </c>
      <c r="B100" s="11" t="s">
        <v>211</v>
      </c>
      <c r="C100" s="12">
        <f t="shared" si="113"/>
        <v>42</v>
      </c>
      <c r="D100" s="41" t="str">
        <f t="shared" si="114"/>
        <v>m²</v>
      </c>
      <c r="E100" s="41">
        <f>ROUND((X100*(1-$M$5))*(1+BDI!$C$21),2)</f>
        <v>142.01</v>
      </c>
      <c r="F100" s="41">
        <f>ROUND((Y100*(1-$N$5))*(1+BDI!$C$21),2)</f>
        <v>45.12</v>
      </c>
      <c r="G100" s="41">
        <f t="shared" si="115"/>
        <v>187.13</v>
      </c>
      <c r="H100" s="13">
        <f t="shared" si="116"/>
        <v>5964.42</v>
      </c>
      <c r="I100" s="13">
        <f t="shared" si="117"/>
        <v>1895.04</v>
      </c>
      <c r="J100" s="14">
        <f t="shared" si="118"/>
        <v>7859.46</v>
      </c>
      <c r="M100" s="54"/>
      <c r="N100" s="55"/>
      <c r="V100" s="74">
        <v>42</v>
      </c>
      <c r="W100" s="74" t="s">
        <v>59</v>
      </c>
      <c r="X100" s="13">
        <v>177.4</v>
      </c>
      <c r="Y100" s="13">
        <v>56.36</v>
      </c>
      <c r="Z100" s="13">
        <f t="shared" si="119"/>
        <v>233.76</v>
      </c>
      <c r="AB100" s="74">
        <v>42</v>
      </c>
      <c r="AC100" s="74" t="s">
        <v>59</v>
      </c>
      <c r="AD100" s="13">
        <v>228.53</v>
      </c>
      <c r="AE100" s="13">
        <v>72.599999999999994</v>
      </c>
      <c r="AF100" s="13">
        <f t="shared" si="120"/>
        <v>301.13</v>
      </c>
      <c r="AH100" s="89">
        <f t="shared" si="96"/>
        <v>-0.37859362009364206</v>
      </c>
      <c r="AI100" s="89">
        <f t="shared" si="97"/>
        <v>-0.37851239669421488</v>
      </c>
      <c r="AJ100" s="89">
        <f t="shared" si="98"/>
        <v>-0.37857403779098731</v>
      </c>
    </row>
    <row r="101" spans="1:36" x14ac:dyDescent="0.3">
      <c r="A101" s="17" t="s">
        <v>212</v>
      </c>
      <c r="B101" s="11" t="s">
        <v>213</v>
      </c>
      <c r="C101" s="12">
        <f t="shared" si="113"/>
        <v>1</v>
      </c>
      <c r="D101" s="41" t="str">
        <f t="shared" si="114"/>
        <v>m²</v>
      </c>
      <c r="E101" s="41">
        <f>ROUND((X101*(1-$M$5))*(1+BDI!$C$21),2)</f>
        <v>453.28</v>
      </c>
      <c r="F101" s="41">
        <f>ROUND((Y101*(1-$N$5))*(1+BDI!$C$21),2)</f>
        <v>41.87</v>
      </c>
      <c r="G101" s="41">
        <f t="shared" si="115"/>
        <v>495.15</v>
      </c>
      <c r="H101" s="13">
        <f t="shared" si="116"/>
        <v>453.28</v>
      </c>
      <c r="I101" s="13">
        <f t="shared" si="117"/>
        <v>41.87</v>
      </c>
      <c r="J101" s="14">
        <f t="shared" si="118"/>
        <v>495.15</v>
      </c>
      <c r="M101" s="54"/>
      <c r="N101" s="56"/>
      <c r="V101" s="74">
        <v>1</v>
      </c>
      <c r="W101" s="74" t="s">
        <v>59</v>
      </c>
      <c r="X101" s="13">
        <v>566.25</v>
      </c>
      <c r="Y101" s="13">
        <v>52.3</v>
      </c>
      <c r="Z101" s="13">
        <f t="shared" si="119"/>
        <v>618.54999999999995</v>
      </c>
      <c r="AB101" s="74">
        <v>1</v>
      </c>
      <c r="AC101" s="74" t="s">
        <v>59</v>
      </c>
      <c r="AD101" s="13">
        <v>729.44</v>
      </c>
      <c r="AE101" s="13">
        <v>67.37</v>
      </c>
      <c r="AF101" s="13">
        <f t="shared" si="120"/>
        <v>796.81000000000006</v>
      </c>
      <c r="AH101" s="89">
        <f t="shared" si="96"/>
        <v>-0.37859179644658925</v>
      </c>
      <c r="AI101" s="89">
        <f t="shared" si="97"/>
        <v>-0.37850675374795906</v>
      </c>
      <c r="AJ101" s="89">
        <f t="shared" si="98"/>
        <v>-0.37858460611689115</v>
      </c>
    </row>
    <row r="102" spans="1:36" x14ac:dyDescent="0.3">
      <c r="A102" s="17" t="s">
        <v>214</v>
      </c>
      <c r="B102" s="11" t="s">
        <v>215</v>
      </c>
      <c r="C102" s="12">
        <f t="shared" si="113"/>
        <v>43</v>
      </c>
      <c r="D102" s="41" t="str">
        <f t="shared" si="114"/>
        <v>m²</v>
      </c>
      <c r="E102" s="41">
        <f>ROUND((X102*(1-$M$5))*(1+BDI!$C$21),2)</f>
        <v>82.95</v>
      </c>
      <c r="F102" s="41">
        <f>ROUND((Y102*(1-$N$5))*(1+BDI!$C$21),2)</f>
        <v>76.14</v>
      </c>
      <c r="G102" s="41">
        <f t="shared" si="115"/>
        <v>159.09</v>
      </c>
      <c r="H102" s="13">
        <f t="shared" si="116"/>
        <v>3566.85</v>
      </c>
      <c r="I102" s="13">
        <f t="shared" si="117"/>
        <v>3274.02</v>
      </c>
      <c r="J102" s="14">
        <f t="shared" si="118"/>
        <v>6840.87</v>
      </c>
      <c r="M102" s="54"/>
      <c r="N102" s="56"/>
      <c r="V102" s="74">
        <v>43</v>
      </c>
      <c r="W102" s="74" t="s">
        <v>59</v>
      </c>
      <c r="X102" s="13">
        <v>103.63</v>
      </c>
      <c r="Y102" s="13">
        <v>95.12</v>
      </c>
      <c r="Z102" s="13">
        <f t="shared" si="119"/>
        <v>198.75</v>
      </c>
      <c r="AB102" s="74">
        <v>43</v>
      </c>
      <c r="AC102" s="74" t="s">
        <v>59</v>
      </c>
      <c r="AD102" s="13">
        <v>133.5</v>
      </c>
      <c r="AE102" s="13">
        <v>122.53</v>
      </c>
      <c r="AF102" s="13">
        <f t="shared" si="120"/>
        <v>256.02999999999997</v>
      </c>
      <c r="AH102" s="89">
        <f t="shared" si="96"/>
        <v>-0.37865168539325844</v>
      </c>
      <c r="AI102" s="89">
        <f t="shared" si="97"/>
        <v>-0.37860115889986123</v>
      </c>
      <c r="AJ102" s="89">
        <f t="shared" si="98"/>
        <v>-0.37862750458930583</v>
      </c>
    </row>
    <row r="103" spans="1:36" x14ac:dyDescent="0.3">
      <c r="A103" s="17" t="s">
        <v>216</v>
      </c>
      <c r="B103" s="11" t="s">
        <v>217</v>
      </c>
      <c r="C103" s="12">
        <f t="shared" si="113"/>
        <v>41</v>
      </c>
      <c r="D103" s="41" t="str">
        <f t="shared" si="114"/>
        <v>m²</v>
      </c>
      <c r="E103" s="41">
        <f>ROUND((X103*(1-$M$5))*(1+BDI!$C$21),2)</f>
        <v>23.8</v>
      </c>
      <c r="F103" s="41">
        <f>ROUND((Y103*(1-$N$5))*(1+BDI!$C$21),2)</f>
        <v>13.53</v>
      </c>
      <c r="G103" s="41">
        <f t="shared" si="115"/>
        <v>37.33</v>
      </c>
      <c r="H103" s="13">
        <f t="shared" si="116"/>
        <v>975.80000000000007</v>
      </c>
      <c r="I103" s="13">
        <f t="shared" si="117"/>
        <v>554.73</v>
      </c>
      <c r="J103" s="14">
        <f t="shared" si="118"/>
        <v>1530.53</v>
      </c>
      <c r="M103" s="54"/>
      <c r="N103" s="56"/>
      <c r="V103" s="74">
        <v>41</v>
      </c>
      <c r="W103" s="74" t="s">
        <v>59</v>
      </c>
      <c r="X103" s="13">
        <v>29.73</v>
      </c>
      <c r="Y103" s="13">
        <v>16.899999999999999</v>
      </c>
      <c r="Z103" s="13">
        <f t="shared" si="119"/>
        <v>46.629999999999995</v>
      </c>
      <c r="AB103" s="74">
        <v>41</v>
      </c>
      <c r="AC103" s="74" t="s">
        <v>59</v>
      </c>
      <c r="AD103" s="13">
        <v>38.299999999999997</v>
      </c>
      <c r="AE103" s="13">
        <v>21.77</v>
      </c>
      <c r="AF103" s="13">
        <f t="shared" si="120"/>
        <v>60.069999999999993</v>
      </c>
      <c r="AH103" s="89">
        <f t="shared" si="96"/>
        <v>-0.37859007832898162</v>
      </c>
      <c r="AI103" s="89">
        <f t="shared" si="97"/>
        <v>-0.37850252641249427</v>
      </c>
      <c r="AJ103" s="89">
        <f t="shared" si="98"/>
        <v>-0.37855834859330773</v>
      </c>
    </row>
    <row r="104" spans="1:36" x14ac:dyDescent="0.3">
      <c r="A104" s="17" t="s">
        <v>218</v>
      </c>
      <c r="B104" s="18" t="s">
        <v>219</v>
      </c>
      <c r="C104" s="12">
        <f t="shared" si="113"/>
        <v>38</v>
      </c>
      <c r="D104" s="41" t="str">
        <f t="shared" si="114"/>
        <v>m²</v>
      </c>
      <c r="E104" s="41">
        <f>ROUND((X104*(1-$M$5))*(1+BDI!$C$21),2)</f>
        <v>32.229999999999997</v>
      </c>
      <c r="F104" s="41">
        <f>ROUND((Y104*(1-$N$5))*(1+BDI!$C$21),2)</f>
        <v>20.88</v>
      </c>
      <c r="G104" s="41">
        <f t="shared" si="115"/>
        <v>53.11</v>
      </c>
      <c r="H104" s="13">
        <f t="shared" si="116"/>
        <v>1224.7399999999998</v>
      </c>
      <c r="I104" s="13">
        <f t="shared" si="117"/>
        <v>793.43999999999994</v>
      </c>
      <c r="J104" s="14">
        <f t="shared" si="118"/>
        <v>2018.18</v>
      </c>
      <c r="M104" s="54"/>
      <c r="N104" s="56"/>
      <c r="V104" s="74">
        <v>38</v>
      </c>
      <c r="W104" s="74" t="s">
        <v>59</v>
      </c>
      <c r="X104" s="13">
        <v>40.26</v>
      </c>
      <c r="Y104" s="13">
        <v>26.09</v>
      </c>
      <c r="Z104" s="13">
        <f t="shared" si="119"/>
        <v>66.349999999999994</v>
      </c>
      <c r="AB104" s="74">
        <v>38</v>
      </c>
      <c r="AC104" s="74" t="s">
        <v>59</v>
      </c>
      <c r="AD104" s="13">
        <v>51.86</v>
      </c>
      <c r="AE104" s="13">
        <v>33.61</v>
      </c>
      <c r="AF104" s="13">
        <f t="shared" si="120"/>
        <v>85.47</v>
      </c>
      <c r="AH104" s="89">
        <f t="shared" si="96"/>
        <v>-0.3785190898573082</v>
      </c>
      <c r="AI104" s="89">
        <f t="shared" si="97"/>
        <v>-0.37875632252305869</v>
      </c>
      <c r="AJ104" s="89">
        <f t="shared" si="98"/>
        <v>-0.37861237861237862</v>
      </c>
    </row>
    <row r="105" spans="1:36" x14ac:dyDescent="0.3">
      <c r="A105" s="17" t="s">
        <v>220</v>
      </c>
      <c r="B105" s="11" t="s">
        <v>221</v>
      </c>
      <c r="C105" s="12">
        <f t="shared" si="113"/>
        <v>10</v>
      </c>
      <c r="D105" s="41" t="str">
        <f t="shared" si="114"/>
        <v>m²</v>
      </c>
      <c r="E105" s="41">
        <f>ROUND((X105*(1-$M$5))*(1+BDI!$C$21),2)</f>
        <v>109.24</v>
      </c>
      <c r="F105" s="41">
        <f>ROUND((Y105*(1-$N$5))*(1+BDI!$C$21),2)</f>
        <v>33.32</v>
      </c>
      <c r="G105" s="41">
        <f t="shared" si="115"/>
        <v>142.56</v>
      </c>
      <c r="H105" s="13">
        <f t="shared" si="116"/>
        <v>1092.3999999999999</v>
      </c>
      <c r="I105" s="13">
        <f t="shared" si="117"/>
        <v>333.2</v>
      </c>
      <c r="J105" s="14">
        <f t="shared" si="118"/>
        <v>1425.6</v>
      </c>
      <c r="M105" s="54"/>
      <c r="N105" s="56"/>
      <c r="V105" s="74">
        <v>10</v>
      </c>
      <c r="W105" s="74" t="s">
        <v>59</v>
      </c>
      <c r="X105" s="13">
        <v>136.47</v>
      </c>
      <c r="Y105" s="13">
        <v>41.62</v>
      </c>
      <c r="Z105" s="13">
        <f t="shared" si="119"/>
        <v>178.09</v>
      </c>
      <c r="AB105" s="74">
        <v>10</v>
      </c>
      <c r="AC105" s="74" t="s">
        <v>59</v>
      </c>
      <c r="AD105" s="13">
        <v>175.8</v>
      </c>
      <c r="AE105" s="13">
        <v>53.61</v>
      </c>
      <c r="AF105" s="13">
        <f t="shared" si="120"/>
        <v>229.41000000000003</v>
      </c>
      <c r="AH105" s="89">
        <f t="shared" si="96"/>
        <v>-0.37861205915813434</v>
      </c>
      <c r="AI105" s="89">
        <f t="shared" si="97"/>
        <v>-0.37847416526767397</v>
      </c>
      <c r="AJ105" s="89">
        <f t="shared" si="98"/>
        <v>-0.37857983522950178</v>
      </c>
    </row>
    <row r="106" spans="1:36" x14ac:dyDescent="0.3">
      <c r="A106" s="17" t="s">
        <v>222</v>
      </c>
      <c r="B106" s="11" t="s">
        <v>223</v>
      </c>
      <c r="C106" s="12">
        <f t="shared" si="113"/>
        <v>82</v>
      </c>
      <c r="D106" s="41" t="str">
        <f t="shared" si="114"/>
        <v>m²</v>
      </c>
      <c r="E106" s="41">
        <f>ROUND((X106*(1-$M$5))*(1+BDI!$C$21),2)</f>
        <v>3.5</v>
      </c>
      <c r="F106" s="41">
        <f>ROUND((Y106*(1-$N$5))*(1+BDI!$C$21),2)</f>
        <v>5.29</v>
      </c>
      <c r="G106" s="41">
        <f t="shared" si="115"/>
        <v>8.7899999999999991</v>
      </c>
      <c r="H106" s="13">
        <f t="shared" si="116"/>
        <v>287</v>
      </c>
      <c r="I106" s="13">
        <f t="shared" si="117"/>
        <v>433.78000000000003</v>
      </c>
      <c r="J106" s="14">
        <f t="shared" si="118"/>
        <v>720.78</v>
      </c>
      <c r="M106" s="54"/>
      <c r="N106" s="56"/>
      <c r="V106" s="74">
        <v>82</v>
      </c>
      <c r="W106" s="74" t="s">
        <v>59</v>
      </c>
      <c r="X106" s="13">
        <v>4.37</v>
      </c>
      <c r="Y106" s="13">
        <v>6.61</v>
      </c>
      <c r="Z106" s="13">
        <f t="shared" si="119"/>
        <v>10.98</v>
      </c>
      <c r="AB106" s="74">
        <v>82</v>
      </c>
      <c r="AC106" s="74" t="s">
        <v>59</v>
      </c>
      <c r="AD106" s="13">
        <v>5.63</v>
      </c>
      <c r="AE106" s="13">
        <v>8.52</v>
      </c>
      <c r="AF106" s="13">
        <f t="shared" si="120"/>
        <v>14.149999999999999</v>
      </c>
      <c r="AH106" s="89">
        <f t="shared" si="96"/>
        <v>-0.37833037300177619</v>
      </c>
      <c r="AI106" s="89">
        <f t="shared" si="97"/>
        <v>-0.37910798122065725</v>
      </c>
      <c r="AJ106" s="89">
        <f t="shared" si="98"/>
        <v>-0.37879858657243815</v>
      </c>
    </row>
    <row r="107" spans="1:36" x14ac:dyDescent="0.3">
      <c r="A107" s="17" t="s">
        <v>224</v>
      </c>
      <c r="B107" s="11" t="s">
        <v>225</v>
      </c>
      <c r="C107" s="12">
        <f t="shared" si="113"/>
        <v>18</v>
      </c>
      <c r="D107" s="41" t="str">
        <f t="shared" si="114"/>
        <v>m²</v>
      </c>
      <c r="E107" s="41">
        <f>ROUND((X107*(1-$M$5))*(1+BDI!$C$21),2)</f>
        <v>206.1</v>
      </c>
      <c r="F107" s="41">
        <f>ROUND((Y107*(1-$N$5))*(1+BDI!$C$21),2)</f>
        <v>6.8</v>
      </c>
      <c r="G107" s="41">
        <f t="shared" si="115"/>
        <v>212.9</v>
      </c>
      <c r="H107" s="13">
        <f t="shared" si="116"/>
        <v>3709.7999999999997</v>
      </c>
      <c r="I107" s="13">
        <f t="shared" si="117"/>
        <v>122.39999999999999</v>
      </c>
      <c r="J107" s="14">
        <f t="shared" si="118"/>
        <v>3832.2000000000003</v>
      </c>
      <c r="M107" s="54"/>
      <c r="N107" s="56"/>
      <c r="V107" s="74">
        <v>18</v>
      </c>
      <c r="W107" s="74" t="s">
        <v>59</v>
      </c>
      <c r="X107" s="13">
        <v>257.47000000000003</v>
      </c>
      <c r="Y107" s="13">
        <v>8.49</v>
      </c>
      <c r="Z107" s="13">
        <f t="shared" si="119"/>
        <v>265.96000000000004</v>
      </c>
      <c r="AB107" s="74">
        <v>18</v>
      </c>
      <c r="AC107" s="74" t="s">
        <v>59</v>
      </c>
      <c r="AD107" s="13">
        <v>331.67</v>
      </c>
      <c r="AE107" s="13">
        <v>10.94</v>
      </c>
      <c r="AF107" s="13">
        <f t="shared" si="120"/>
        <v>342.61</v>
      </c>
      <c r="AH107" s="89">
        <f t="shared" si="96"/>
        <v>-0.37859921005819042</v>
      </c>
      <c r="AI107" s="89">
        <f t="shared" si="97"/>
        <v>-0.37842778793418641</v>
      </c>
      <c r="AJ107" s="89">
        <f t="shared" si="98"/>
        <v>-0.37859373631826276</v>
      </c>
    </row>
    <row r="108" spans="1:36" x14ac:dyDescent="0.3">
      <c r="A108" s="17" t="s">
        <v>226</v>
      </c>
      <c r="B108" s="11" t="s">
        <v>227</v>
      </c>
      <c r="C108" s="12">
        <f t="shared" si="113"/>
        <v>403</v>
      </c>
      <c r="D108" s="41" t="str">
        <f t="shared" si="114"/>
        <v>m²</v>
      </c>
      <c r="E108" s="41">
        <f>ROUND((X108*(1-$M$5))*(1+BDI!$C$21),2)</f>
        <v>114.44</v>
      </c>
      <c r="F108" s="41">
        <f>ROUND((Y108*(1-$N$5))*(1+BDI!$C$21),2)</f>
        <v>7.7</v>
      </c>
      <c r="G108" s="41">
        <f t="shared" si="115"/>
        <v>122.14</v>
      </c>
      <c r="H108" s="13">
        <f t="shared" si="116"/>
        <v>46119.32</v>
      </c>
      <c r="I108" s="13">
        <f t="shared" si="117"/>
        <v>3103.1</v>
      </c>
      <c r="J108" s="14">
        <f t="shared" si="118"/>
        <v>49222.42</v>
      </c>
      <c r="M108" s="54"/>
      <c r="N108" s="56"/>
      <c r="V108" s="74">
        <v>403</v>
      </c>
      <c r="W108" s="74" t="s">
        <v>59</v>
      </c>
      <c r="X108" s="13">
        <v>142.96</v>
      </c>
      <c r="Y108" s="13">
        <v>9.6199999999999992</v>
      </c>
      <c r="Z108" s="13">
        <f t="shared" si="119"/>
        <v>152.58000000000001</v>
      </c>
      <c r="AB108" s="74">
        <v>403</v>
      </c>
      <c r="AC108" s="74" t="s">
        <v>59</v>
      </c>
      <c r="AD108" s="13">
        <v>184.16</v>
      </c>
      <c r="AE108" s="13">
        <v>12.39</v>
      </c>
      <c r="AF108" s="13">
        <f t="shared" si="120"/>
        <v>196.55</v>
      </c>
      <c r="AH108" s="89">
        <f t="shared" si="96"/>
        <v>-0.37858384013900959</v>
      </c>
      <c r="AI108" s="89">
        <f t="shared" si="97"/>
        <v>-0.37853107344632775</v>
      </c>
      <c r="AJ108" s="89">
        <f t="shared" si="98"/>
        <v>-0.3785805138641567</v>
      </c>
    </row>
    <row r="109" spans="1:36" x14ac:dyDescent="0.3">
      <c r="A109" s="17" t="s">
        <v>228</v>
      </c>
      <c r="B109" s="11" t="s">
        <v>229</v>
      </c>
      <c r="C109" s="12">
        <f t="shared" si="113"/>
        <v>1551</v>
      </c>
      <c r="D109" s="41" t="str">
        <f t="shared" si="114"/>
        <v>m²</v>
      </c>
      <c r="E109" s="41">
        <f>ROUND((X109*(1-$M$5))*(1+BDI!$C$21),2)</f>
        <v>211.17</v>
      </c>
      <c r="F109" s="41">
        <f>ROUND((Y109*(1-$N$5))*(1+BDI!$C$21),2)</f>
        <v>4.53</v>
      </c>
      <c r="G109" s="41">
        <f t="shared" ref="G109" si="121">F109+E109</f>
        <v>215.7</v>
      </c>
      <c r="H109" s="13">
        <f t="shared" ref="H109" si="122">C109*E109</f>
        <v>327524.67</v>
      </c>
      <c r="I109" s="13">
        <f t="shared" ref="I109" si="123">C109*F109</f>
        <v>7026.0300000000007</v>
      </c>
      <c r="J109" s="14">
        <f t="shared" ref="J109" si="124">SUM(E109:F109)*C109</f>
        <v>334550.69999999995</v>
      </c>
      <c r="M109" s="54"/>
      <c r="N109" s="56"/>
      <c r="V109" s="74">
        <v>1551</v>
      </c>
      <c r="W109" s="74" t="s">
        <v>59</v>
      </c>
      <c r="X109" s="13">
        <v>263.8</v>
      </c>
      <c r="Y109" s="13">
        <v>5.66</v>
      </c>
      <c r="Z109" s="13">
        <f t="shared" ref="Z109" si="125">SUM(X109:Y109)</f>
        <v>269.46000000000004</v>
      </c>
      <c r="AB109" s="74">
        <v>1551</v>
      </c>
      <c r="AC109" s="74" t="s">
        <v>59</v>
      </c>
      <c r="AD109" s="13">
        <v>339.83</v>
      </c>
      <c r="AE109" s="13">
        <v>7.29</v>
      </c>
      <c r="AF109" s="13">
        <f t="shared" si="120"/>
        <v>347.12</v>
      </c>
      <c r="AH109" s="89">
        <f t="shared" si="96"/>
        <v>-0.37860106523850157</v>
      </c>
      <c r="AI109" s="89">
        <f t="shared" si="97"/>
        <v>-0.37860082304526743</v>
      </c>
      <c r="AJ109" s="89">
        <f t="shared" si="98"/>
        <v>-0.37860106015210881</v>
      </c>
    </row>
    <row r="110" spans="1:36" x14ac:dyDescent="0.3">
      <c r="A110" s="17" t="s">
        <v>230</v>
      </c>
      <c r="B110" s="11" t="s">
        <v>231</v>
      </c>
      <c r="C110" s="12">
        <f t="shared" si="113"/>
        <v>16</v>
      </c>
      <c r="D110" s="41" t="str">
        <f t="shared" si="114"/>
        <v>m</v>
      </c>
      <c r="E110" s="41">
        <f>ROUND((X110*(1-$M$5))*(1+BDI!$C$21),2)</f>
        <v>18.88</v>
      </c>
      <c r="F110" s="41">
        <f>ROUND((Y110*(1-$N$5))*(1+BDI!$C$21),2)</f>
        <v>6.76</v>
      </c>
      <c r="G110" s="41">
        <f t="shared" si="115"/>
        <v>25.64</v>
      </c>
      <c r="H110" s="13">
        <f t="shared" si="116"/>
        <v>302.08</v>
      </c>
      <c r="I110" s="13">
        <f t="shared" si="117"/>
        <v>108.16</v>
      </c>
      <c r="J110" s="14">
        <f t="shared" si="118"/>
        <v>410.24</v>
      </c>
      <c r="M110" s="54"/>
      <c r="N110" s="56"/>
      <c r="V110" s="74">
        <v>16</v>
      </c>
      <c r="W110" s="74" t="s">
        <v>75</v>
      </c>
      <c r="X110" s="13">
        <v>23.59</v>
      </c>
      <c r="Y110" s="13">
        <v>8.44</v>
      </c>
      <c r="Z110" s="13">
        <f t="shared" si="119"/>
        <v>32.03</v>
      </c>
      <c r="AB110" s="74">
        <v>16</v>
      </c>
      <c r="AC110" s="74" t="s">
        <v>75</v>
      </c>
      <c r="AD110" s="13">
        <v>30.39</v>
      </c>
      <c r="AE110" s="13">
        <v>10.87</v>
      </c>
      <c r="AF110" s="13">
        <f t="shared" si="120"/>
        <v>41.26</v>
      </c>
      <c r="AH110" s="89">
        <f t="shared" si="96"/>
        <v>-0.37874300756827906</v>
      </c>
      <c r="AI110" s="89">
        <f t="shared" si="97"/>
        <v>-0.37810487580496777</v>
      </c>
      <c r="AJ110" s="89">
        <f t="shared" si="98"/>
        <v>-0.37857489093553076</v>
      </c>
    </row>
    <row r="111" spans="1:36" x14ac:dyDescent="0.3">
      <c r="A111" s="17" t="s">
        <v>232</v>
      </c>
      <c r="B111" s="11" t="s">
        <v>233</v>
      </c>
      <c r="C111" s="12">
        <f t="shared" si="113"/>
        <v>3</v>
      </c>
      <c r="D111" s="41" t="str">
        <f t="shared" si="114"/>
        <v>m²</v>
      </c>
      <c r="E111" s="41">
        <f>ROUND((X111*(1-$M$5))*(1+BDI!$C$21),2)</f>
        <v>121.37</v>
      </c>
      <c r="F111" s="41">
        <f>ROUND((Y111*(1-$N$5))*(1+BDI!$C$21),2)</f>
        <v>2.11</v>
      </c>
      <c r="G111" s="41">
        <f t="shared" si="115"/>
        <v>123.48</v>
      </c>
      <c r="H111" s="13">
        <f t="shared" si="116"/>
        <v>364.11</v>
      </c>
      <c r="I111" s="13">
        <f t="shared" si="117"/>
        <v>6.33</v>
      </c>
      <c r="J111" s="14">
        <f t="shared" si="118"/>
        <v>370.44</v>
      </c>
      <c r="M111" s="54"/>
      <c r="N111" s="56"/>
      <c r="V111" s="74">
        <v>3</v>
      </c>
      <c r="W111" s="74" t="s">
        <v>59</v>
      </c>
      <c r="X111" s="13">
        <v>151.62</v>
      </c>
      <c r="Y111" s="13">
        <v>2.64</v>
      </c>
      <c r="Z111" s="13">
        <f t="shared" si="119"/>
        <v>154.26</v>
      </c>
      <c r="AB111" s="74">
        <v>3</v>
      </c>
      <c r="AC111" s="74" t="s">
        <v>59</v>
      </c>
      <c r="AD111" s="13">
        <v>195.32</v>
      </c>
      <c r="AE111" s="13">
        <v>3.4</v>
      </c>
      <c r="AF111" s="13">
        <f t="shared" ref="AF111:AF112" si="126">SUM(AD111:AE111)</f>
        <v>198.72</v>
      </c>
      <c r="AH111" s="89">
        <f t="shared" ref="AH111:AH112" si="127">IF(E111=0,0,(E111/AD111)-1)</f>
        <v>-0.37860946139668228</v>
      </c>
      <c r="AI111" s="89">
        <f t="shared" ref="AI111:AI112" si="128">IF(F111=0,0,(F111/AE111)-1)</f>
        <v>-0.37941176470588234</v>
      </c>
      <c r="AJ111" s="89">
        <f t="shared" ref="AJ111:AJ112" si="129">IF(G111=0,0,(G111/AF111)-1)</f>
        <v>-0.37862318840579712</v>
      </c>
    </row>
    <row r="112" spans="1:36" x14ac:dyDescent="0.3">
      <c r="A112" s="17" t="s">
        <v>234</v>
      </c>
      <c r="B112" s="11" t="s">
        <v>235</v>
      </c>
      <c r="C112" s="12">
        <f t="shared" ref="C112" si="130">V112</f>
        <v>1</v>
      </c>
      <c r="D112" s="41" t="str">
        <f t="shared" ref="D112" si="131">W112</f>
        <v>m</v>
      </c>
      <c r="E112" s="41">
        <f>ROUND((X112*(1-$M$5))*(1+BDI!$C$21),2)</f>
        <v>17.5</v>
      </c>
      <c r="F112" s="41">
        <f>ROUND((Y112*(1-$N$5))*(1+BDI!$C$21),2)</f>
        <v>4.53</v>
      </c>
      <c r="G112" s="41">
        <f t="shared" ref="G112" si="132">F112+E112</f>
        <v>22.03</v>
      </c>
      <c r="H112" s="13">
        <f t="shared" ref="H112" si="133">C112*E112</f>
        <v>17.5</v>
      </c>
      <c r="I112" s="13">
        <f t="shared" ref="I112" si="134">C112*F112</f>
        <v>4.53</v>
      </c>
      <c r="J112" s="14">
        <f t="shared" ref="J112" si="135">SUM(E112:F112)*C112</f>
        <v>22.03</v>
      </c>
      <c r="M112" s="54"/>
      <c r="N112" s="56"/>
      <c r="V112" s="74">
        <v>1</v>
      </c>
      <c r="W112" s="74" t="s">
        <v>75</v>
      </c>
      <c r="X112" s="13">
        <v>21.86</v>
      </c>
      <c r="Y112" s="13">
        <v>5.66</v>
      </c>
      <c r="Z112" s="13">
        <f t="shared" ref="Z112" si="136">SUM(X112:Y112)</f>
        <v>27.52</v>
      </c>
      <c r="AB112" s="74">
        <v>1</v>
      </c>
      <c r="AC112" s="74" t="s">
        <v>75</v>
      </c>
      <c r="AD112" s="13">
        <v>28.16</v>
      </c>
      <c r="AE112" s="13">
        <v>7.29</v>
      </c>
      <c r="AF112" s="13">
        <f t="shared" si="126"/>
        <v>35.450000000000003</v>
      </c>
      <c r="AH112" s="89">
        <f t="shared" si="127"/>
        <v>-0.37855113636363635</v>
      </c>
      <c r="AI112" s="89">
        <f t="shared" si="128"/>
        <v>-0.37860082304526743</v>
      </c>
      <c r="AJ112" s="89">
        <f t="shared" si="129"/>
        <v>-0.37856135401974611</v>
      </c>
    </row>
    <row r="113" spans="1:36" x14ac:dyDescent="0.3">
      <c r="A113" s="17" t="s">
        <v>236</v>
      </c>
      <c r="B113" s="11" t="s">
        <v>237</v>
      </c>
      <c r="C113" s="12">
        <f t="shared" ref="C113:C114" si="137">V113</f>
        <v>1</v>
      </c>
      <c r="D113" s="41" t="str">
        <f t="shared" ref="D113:D114" si="138">W113</f>
        <v>m²</v>
      </c>
      <c r="E113" s="41">
        <f>ROUND((X113*(1-$M$5))*(1+BDI!$C$21),2)</f>
        <v>9.3699999999999992</v>
      </c>
      <c r="F113" s="41">
        <f>ROUND((Y113*(1-$N$5))*(1+BDI!$C$21),2)</f>
        <v>7.2</v>
      </c>
      <c r="G113" s="41">
        <f t="shared" ref="G113:G114" si="139">F113+E113</f>
        <v>16.57</v>
      </c>
      <c r="H113" s="13">
        <f t="shared" ref="H113:H114" si="140">C113*E113</f>
        <v>9.3699999999999992</v>
      </c>
      <c r="I113" s="13">
        <f t="shared" ref="I113:I114" si="141">C113*F113</f>
        <v>7.2</v>
      </c>
      <c r="J113" s="14">
        <f t="shared" ref="J113:J114" si="142">SUM(E113:F113)*C113</f>
        <v>16.57</v>
      </c>
      <c r="M113" s="54"/>
      <c r="N113" s="56"/>
      <c r="V113" s="74">
        <v>1</v>
      </c>
      <c r="W113" s="74" t="s">
        <v>59</v>
      </c>
      <c r="X113" s="13">
        <v>11.7</v>
      </c>
      <c r="Y113" s="13">
        <v>8.99</v>
      </c>
      <c r="Z113" s="13">
        <f t="shared" ref="Z113:Z114" si="143">SUM(X113:Y113)</f>
        <v>20.689999999999998</v>
      </c>
      <c r="AB113" s="74">
        <v>1</v>
      </c>
      <c r="AC113" s="74" t="s">
        <v>59</v>
      </c>
      <c r="AD113" s="13">
        <v>15.07</v>
      </c>
      <c r="AE113" s="13">
        <v>11.58</v>
      </c>
      <c r="AF113" s="13">
        <f t="shared" si="120"/>
        <v>26.65</v>
      </c>
      <c r="AH113" s="89">
        <f t="shared" si="96"/>
        <v>-0.37823490378234914</v>
      </c>
      <c r="AI113" s="89">
        <f t="shared" si="97"/>
        <v>-0.37823834196891193</v>
      </c>
      <c r="AJ113" s="89">
        <f t="shared" si="98"/>
        <v>-0.37823639774859286</v>
      </c>
    </row>
    <row r="114" spans="1:36" x14ac:dyDescent="0.3">
      <c r="A114" s="17" t="s">
        <v>238</v>
      </c>
      <c r="B114" s="11" t="s">
        <v>239</v>
      </c>
      <c r="C114" s="12">
        <f t="shared" si="137"/>
        <v>1</v>
      </c>
      <c r="D114" s="41" t="str">
        <f t="shared" si="138"/>
        <v>m²</v>
      </c>
      <c r="E114" s="41">
        <f>ROUND((X114*(1-$M$5))*(1+BDI!$C$21),2)</f>
        <v>14.51</v>
      </c>
      <c r="F114" s="41">
        <f>ROUND((Y114*(1-$N$5))*(1+BDI!$C$21),2)</f>
        <v>9.06</v>
      </c>
      <c r="G114" s="41">
        <f t="shared" si="139"/>
        <v>23.57</v>
      </c>
      <c r="H114" s="13">
        <f t="shared" si="140"/>
        <v>14.51</v>
      </c>
      <c r="I114" s="13">
        <f t="shared" si="141"/>
        <v>9.06</v>
      </c>
      <c r="J114" s="14">
        <f t="shared" si="142"/>
        <v>23.57</v>
      </c>
      <c r="M114" s="54"/>
      <c r="N114" s="56"/>
      <c r="V114" s="74">
        <v>1</v>
      </c>
      <c r="W114" s="74" t="s">
        <v>59</v>
      </c>
      <c r="X114" s="13">
        <v>18.13</v>
      </c>
      <c r="Y114" s="13">
        <v>11.32</v>
      </c>
      <c r="Z114" s="13">
        <f t="shared" si="143"/>
        <v>29.45</v>
      </c>
      <c r="AB114" s="74">
        <v>1</v>
      </c>
      <c r="AC114" s="74" t="s">
        <v>59</v>
      </c>
      <c r="AD114" s="13">
        <v>23.36</v>
      </c>
      <c r="AE114" s="13">
        <v>14.58</v>
      </c>
      <c r="AF114" s="13">
        <f t="shared" ref="AF114" si="144">SUM(AD114:AE114)</f>
        <v>37.94</v>
      </c>
      <c r="AH114" s="89">
        <f t="shared" ref="AH114" si="145">IF(E114=0,0,(E114/AD114)-1)</f>
        <v>-0.3788527397260274</v>
      </c>
      <c r="AI114" s="89">
        <f t="shared" ref="AI114" si="146">IF(F114=0,0,(F114/AE114)-1)</f>
        <v>-0.37860082304526743</v>
      </c>
      <c r="AJ114" s="89">
        <f t="shared" ref="AJ114" si="147">IF(G114=0,0,(G114/AF114)-1)</f>
        <v>-0.37875593041644695</v>
      </c>
    </row>
    <row r="115" spans="1:36" x14ac:dyDescent="0.3">
      <c r="A115" s="17" t="s">
        <v>1065</v>
      </c>
      <c r="B115" s="11" t="s">
        <v>1066</v>
      </c>
      <c r="C115" s="12">
        <f t="shared" si="113"/>
        <v>2</v>
      </c>
      <c r="D115" s="41" t="str">
        <f t="shared" si="114"/>
        <v>m²</v>
      </c>
      <c r="E115" s="41">
        <f>ROUND((X115*(1-$M$5))*(1+BDI!$C$21),2)</f>
        <v>39.880000000000003</v>
      </c>
      <c r="F115" s="41">
        <f>ROUND((Y115*(1-$N$5))*(1+BDI!$C$21),2)</f>
        <v>0</v>
      </c>
      <c r="G115" s="41">
        <f t="shared" si="115"/>
        <v>39.880000000000003</v>
      </c>
      <c r="H115" s="13">
        <f t="shared" si="116"/>
        <v>79.760000000000005</v>
      </c>
      <c r="I115" s="13">
        <f t="shared" si="117"/>
        <v>0</v>
      </c>
      <c r="J115" s="14">
        <f t="shared" si="118"/>
        <v>79.760000000000005</v>
      </c>
      <c r="M115" s="54"/>
      <c r="N115" s="56"/>
      <c r="V115" s="74">
        <v>2</v>
      </c>
      <c r="W115" s="74" t="s">
        <v>59</v>
      </c>
      <c r="X115" s="13">
        <v>49.82</v>
      </c>
      <c r="Y115" s="13">
        <v>0</v>
      </c>
      <c r="Z115" s="13">
        <f t="shared" si="119"/>
        <v>49.82</v>
      </c>
      <c r="AB115" s="74">
        <v>2</v>
      </c>
      <c r="AC115" s="74" t="s">
        <v>59</v>
      </c>
      <c r="AD115" s="13">
        <v>64.180000000000007</v>
      </c>
      <c r="AE115" s="13">
        <v>0</v>
      </c>
      <c r="AF115" s="13">
        <f t="shared" si="120"/>
        <v>64.180000000000007</v>
      </c>
      <c r="AH115" s="89">
        <f t="shared" si="96"/>
        <v>-0.37862262387036461</v>
      </c>
      <c r="AI115" s="89">
        <f t="shared" si="97"/>
        <v>0</v>
      </c>
      <c r="AJ115" s="89">
        <f t="shared" si="98"/>
        <v>-0.37862262387036461</v>
      </c>
    </row>
    <row r="116" spans="1:36" x14ac:dyDescent="0.3">
      <c r="A116" s="15">
        <v>11</v>
      </c>
      <c r="B116" s="16" t="s">
        <v>240</v>
      </c>
      <c r="C116" s="76"/>
      <c r="D116" s="58"/>
      <c r="E116" s="58"/>
      <c r="F116" s="58"/>
      <c r="G116" s="58"/>
      <c r="H116" s="24">
        <f t="shared" ref="H116:I116" si="148">SUM(H117:H125)</f>
        <v>22411.850000000002</v>
      </c>
      <c r="I116" s="24">
        <f t="shared" si="148"/>
        <v>11452.029999999999</v>
      </c>
      <c r="J116" s="24">
        <f>SUM(J117:J125)</f>
        <v>33863.880000000005</v>
      </c>
      <c r="M116" s="54"/>
      <c r="N116" s="56"/>
      <c r="V116" s="75"/>
      <c r="W116" s="75"/>
      <c r="X116" s="23"/>
      <c r="Y116" s="23"/>
      <c r="Z116" s="23"/>
      <c r="AB116" s="75"/>
      <c r="AC116" s="75"/>
      <c r="AD116" s="23"/>
      <c r="AE116" s="23"/>
      <c r="AF116" s="23"/>
      <c r="AH116" s="89">
        <f t="shared" si="96"/>
        <v>0</v>
      </c>
      <c r="AI116" s="89">
        <f t="shared" si="97"/>
        <v>0</v>
      </c>
      <c r="AJ116" s="89">
        <f t="shared" si="98"/>
        <v>0</v>
      </c>
    </row>
    <row r="117" spans="1:36" x14ac:dyDescent="0.3">
      <c r="A117" s="17" t="s">
        <v>241</v>
      </c>
      <c r="B117" s="11" t="s">
        <v>242</v>
      </c>
      <c r="C117" s="12">
        <f t="shared" ref="C117:D125" si="149">V117</f>
        <v>1</v>
      </c>
      <c r="D117" s="41" t="str">
        <f t="shared" si="149"/>
        <v>m²</v>
      </c>
      <c r="E117" s="41">
        <f>ROUND((X117*(1-$M$5))*(1+BDI!$C$21),2)</f>
        <v>118.25</v>
      </c>
      <c r="F117" s="41">
        <f>ROUND((Y117*(1-$N$5))*(1+BDI!$C$21),2)</f>
        <v>52.81</v>
      </c>
      <c r="G117" s="41">
        <f t="shared" si="115"/>
        <v>171.06</v>
      </c>
      <c r="H117" s="13">
        <f t="shared" ref="H117:H125" si="150">C117*E117</f>
        <v>118.25</v>
      </c>
      <c r="I117" s="13">
        <f t="shared" ref="I117:I125" si="151">C117*F117</f>
        <v>52.81</v>
      </c>
      <c r="J117" s="14">
        <f t="shared" si="118"/>
        <v>171.06</v>
      </c>
      <c r="M117" s="54"/>
      <c r="N117" s="56"/>
      <c r="V117" s="74">
        <v>1</v>
      </c>
      <c r="W117" s="74" t="s">
        <v>59</v>
      </c>
      <c r="X117" s="13">
        <v>147.72</v>
      </c>
      <c r="Y117" s="13">
        <v>65.97</v>
      </c>
      <c r="Z117" s="13">
        <f t="shared" ref="Z117:Z125" si="152">SUM(X117:Y117)</f>
        <v>213.69</v>
      </c>
      <c r="AB117" s="74">
        <v>1</v>
      </c>
      <c r="AC117" s="74" t="s">
        <v>59</v>
      </c>
      <c r="AD117" s="13">
        <v>190.29</v>
      </c>
      <c r="AE117" s="13">
        <v>84.98</v>
      </c>
      <c r="AF117" s="13">
        <f t="shared" ref="AF117:AF125" si="153">SUM(AD117:AE117)</f>
        <v>275.27</v>
      </c>
      <c r="AH117" s="89">
        <f t="shared" si="96"/>
        <v>-0.37858006201061534</v>
      </c>
      <c r="AI117" s="89">
        <f t="shared" si="97"/>
        <v>-0.37855966109672867</v>
      </c>
      <c r="AJ117" s="89">
        <f t="shared" si="98"/>
        <v>-0.37857376394085807</v>
      </c>
    </row>
    <row r="118" spans="1:36" x14ac:dyDescent="0.3">
      <c r="A118" s="17" t="s">
        <v>243</v>
      </c>
      <c r="B118" s="11" t="s">
        <v>244</v>
      </c>
      <c r="C118" s="12">
        <f t="shared" si="149"/>
        <v>179</v>
      </c>
      <c r="D118" s="41" t="str">
        <f t="shared" si="149"/>
        <v>m²</v>
      </c>
      <c r="E118" s="41">
        <f>ROUND((X118*(1-$M$5))*(1+BDI!$C$21),2)</f>
        <v>1.79</v>
      </c>
      <c r="F118" s="41">
        <f>ROUND((Y118*(1-$N$5))*(1+BDI!$C$21),2)</f>
        <v>4.53</v>
      </c>
      <c r="G118" s="41">
        <f t="shared" si="115"/>
        <v>6.32</v>
      </c>
      <c r="H118" s="13">
        <f t="shared" si="150"/>
        <v>320.41000000000003</v>
      </c>
      <c r="I118" s="13">
        <f t="shared" si="151"/>
        <v>810.87</v>
      </c>
      <c r="J118" s="14">
        <f t="shared" si="118"/>
        <v>1131.28</v>
      </c>
      <c r="M118" s="54"/>
      <c r="N118" s="56"/>
      <c r="V118" s="74">
        <v>179</v>
      </c>
      <c r="W118" s="74" t="s">
        <v>59</v>
      </c>
      <c r="X118" s="13">
        <v>2.2400000000000002</v>
      </c>
      <c r="Y118" s="13">
        <v>5.66</v>
      </c>
      <c r="Z118" s="13">
        <f t="shared" si="152"/>
        <v>7.9</v>
      </c>
      <c r="AB118" s="74">
        <v>179</v>
      </c>
      <c r="AC118" s="74" t="s">
        <v>59</v>
      </c>
      <c r="AD118" s="13">
        <v>2.89</v>
      </c>
      <c r="AE118" s="13">
        <v>7.29</v>
      </c>
      <c r="AF118" s="13">
        <f t="shared" si="153"/>
        <v>10.18</v>
      </c>
      <c r="AH118" s="89">
        <f t="shared" si="96"/>
        <v>-0.38062283737024227</v>
      </c>
      <c r="AI118" s="89">
        <f t="shared" si="97"/>
        <v>-0.37860082304526743</v>
      </c>
      <c r="AJ118" s="89">
        <f t="shared" si="98"/>
        <v>-0.37917485265225925</v>
      </c>
    </row>
    <row r="119" spans="1:36" x14ac:dyDescent="0.3">
      <c r="A119" s="17" t="s">
        <v>245</v>
      </c>
      <c r="B119" s="11" t="s">
        <v>246</v>
      </c>
      <c r="C119" s="12">
        <f t="shared" si="149"/>
        <v>321</v>
      </c>
      <c r="D119" s="41" t="str">
        <f t="shared" si="149"/>
        <v>m²</v>
      </c>
      <c r="E119" s="41">
        <f>ROUND((X119*(1-$M$5))*(1+BDI!$C$21),2)</f>
        <v>14.51</v>
      </c>
      <c r="F119" s="41">
        <f>ROUND((Y119*(1-$N$5))*(1+BDI!$C$21),2)</f>
        <v>20.96</v>
      </c>
      <c r="G119" s="41">
        <f t="shared" si="115"/>
        <v>35.47</v>
      </c>
      <c r="H119" s="13">
        <f t="shared" si="150"/>
        <v>4657.71</v>
      </c>
      <c r="I119" s="13">
        <f t="shared" si="151"/>
        <v>6728.16</v>
      </c>
      <c r="J119" s="14">
        <f t="shared" si="118"/>
        <v>11385.869999999999</v>
      </c>
      <c r="M119" s="54"/>
      <c r="N119" s="56"/>
      <c r="V119" s="74">
        <v>321</v>
      </c>
      <c r="W119" s="74" t="s">
        <v>59</v>
      </c>
      <c r="X119" s="13">
        <v>18.13</v>
      </c>
      <c r="Y119" s="13">
        <v>26.19</v>
      </c>
      <c r="Z119" s="13">
        <f t="shared" si="152"/>
        <v>44.32</v>
      </c>
      <c r="AB119" s="74">
        <v>321</v>
      </c>
      <c r="AC119" s="74" t="s">
        <v>59</v>
      </c>
      <c r="AD119" s="13">
        <v>23.36</v>
      </c>
      <c r="AE119" s="13">
        <v>33.74</v>
      </c>
      <c r="AF119" s="13">
        <f t="shared" si="153"/>
        <v>57.1</v>
      </c>
      <c r="AH119" s="89">
        <f t="shared" si="96"/>
        <v>-0.3788527397260274</v>
      </c>
      <c r="AI119" s="89">
        <f t="shared" si="97"/>
        <v>-0.37877889745109661</v>
      </c>
      <c r="AJ119" s="89">
        <f t="shared" si="98"/>
        <v>-0.37880910683012259</v>
      </c>
    </row>
    <row r="120" spans="1:36" x14ac:dyDescent="0.3">
      <c r="A120" s="17" t="s">
        <v>247</v>
      </c>
      <c r="B120" s="11" t="s">
        <v>248</v>
      </c>
      <c r="C120" s="12">
        <f t="shared" si="149"/>
        <v>46</v>
      </c>
      <c r="D120" s="41" t="str">
        <f t="shared" si="149"/>
        <v>m²</v>
      </c>
      <c r="E120" s="41">
        <f>ROUND((X120*(1-$M$5))*(1+BDI!$C$21),2)</f>
        <v>28.72</v>
      </c>
      <c r="F120" s="41">
        <f>ROUND((Y120*(1-$N$5))*(1+BDI!$C$21),2)</f>
        <v>33.479999999999997</v>
      </c>
      <c r="G120" s="41">
        <f t="shared" si="115"/>
        <v>62.199999999999996</v>
      </c>
      <c r="H120" s="13">
        <f t="shared" si="150"/>
        <v>1321.12</v>
      </c>
      <c r="I120" s="13">
        <f t="shared" si="151"/>
        <v>1540.08</v>
      </c>
      <c r="J120" s="14">
        <f t="shared" si="118"/>
        <v>2861.2</v>
      </c>
      <c r="M120" s="54"/>
      <c r="N120" s="56"/>
      <c r="V120" s="74">
        <v>46</v>
      </c>
      <c r="W120" s="74" t="s">
        <v>59</v>
      </c>
      <c r="X120" s="13">
        <v>35.880000000000003</v>
      </c>
      <c r="Y120" s="13">
        <v>41.82</v>
      </c>
      <c r="Z120" s="13">
        <f t="shared" si="152"/>
        <v>77.7</v>
      </c>
      <c r="AB120" s="74">
        <v>46</v>
      </c>
      <c r="AC120" s="74" t="s">
        <v>59</v>
      </c>
      <c r="AD120" s="13">
        <v>46.22</v>
      </c>
      <c r="AE120" s="13">
        <v>53.87</v>
      </c>
      <c r="AF120" s="13">
        <f t="shared" si="153"/>
        <v>100.09</v>
      </c>
      <c r="AH120" s="89">
        <f t="shared" si="96"/>
        <v>-0.37862397230636091</v>
      </c>
      <c r="AI120" s="89">
        <f t="shared" si="97"/>
        <v>-0.37850380545758311</v>
      </c>
      <c r="AJ120" s="89">
        <f t="shared" si="98"/>
        <v>-0.37855929663303034</v>
      </c>
    </row>
    <row r="121" spans="1:36" x14ac:dyDescent="0.3">
      <c r="A121" s="17" t="s">
        <v>249</v>
      </c>
      <c r="B121" s="11" t="s">
        <v>250</v>
      </c>
      <c r="C121" s="12">
        <f t="shared" si="149"/>
        <v>57</v>
      </c>
      <c r="D121" s="41" t="str">
        <f t="shared" si="149"/>
        <v>m²</v>
      </c>
      <c r="E121" s="41">
        <f>ROUND((X121*(1-$M$5))*(1+BDI!$C$21),2)</f>
        <v>234.28</v>
      </c>
      <c r="F121" s="41">
        <f>ROUND((Y121*(1-$N$5))*(1+BDI!$C$21),2)</f>
        <v>35.56</v>
      </c>
      <c r="G121" s="41">
        <f t="shared" si="115"/>
        <v>269.84000000000003</v>
      </c>
      <c r="H121" s="13">
        <f t="shared" si="150"/>
        <v>13353.960000000001</v>
      </c>
      <c r="I121" s="13">
        <f t="shared" si="151"/>
        <v>2026.92</v>
      </c>
      <c r="J121" s="14">
        <f t="shared" si="118"/>
        <v>15380.880000000001</v>
      </c>
      <c r="M121" s="54"/>
      <c r="N121" s="56"/>
      <c r="V121" s="74">
        <v>57</v>
      </c>
      <c r="W121" s="74" t="s">
        <v>59</v>
      </c>
      <c r="X121" s="13">
        <v>292.67</v>
      </c>
      <c r="Y121" s="13">
        <v>44.42</v>
      </c>
      <c r="Z121" s="13">
        <f t="shared" si="152"/>
        <v>337.09000000000003</v>
      </c>
      <c r="AB121" s="74">
        <v>57</v>
      </c>
      <c r="AC121" s="74" t="s">
        <v>59</v>
      </c>
      <c r="AD121" s="13">
        <v>377.02</v>
      </c>
      <c r="AE121" s="13">
        <v>57.22</v>
      </c>
      <c r="AF121" s="13">
        <f t="shared" si="153"/>
        <v>434.24</v>
      </c>
      <c r="AH121" s="89">
        <f t="shared" si="96"/>
        <v>-0.37860060474245394</v>
      </c>
      <c r="AI121" s="89">
        <f t="shared" si="97"/>
        <v>-0.37853897238727707</v>
      </c>
      <c r="AJ121" s="89">
        <f t="shared" si="98"/>
        <v>-0.37859248341930718</v>
      </c>
    </row>
    <row r="122" spans="1:36" x14ac:dyDescent="0.3">
      <c r="A122" s="17" t="s">
        <v>251</v>
      </c>
      <c r="B122" s="11" t="s">
        <v>252</v>
      </c>
      <c r="C122" s="12">
        <f t="shared" si="149"/>
        <v>15</v>
      </c>
      <c r="D122" s="41" t="str">
        <f t="shared" si="149"/>
        <v>m²</v>
      </c>
      <c r="E122" s="41">
        <f>ROUND((X122*(1-$M$5))*(1+BDI!$C$21),2)</f>
        <v>82.33</v>
      </c>
      <c r="F122" s="41">
        <f>ROUND((Y122*(1-$N$5))*(1+BDI!$C$21),2)</f>
        <v>8.27</v>
      </c>
      <c r="G122" s="41">
        <f t="shared" si="115"/>
        <v>90.6</v>
      </c>
      <c r="H122" s="13">
        <f t="shared" si="150"/>
        <v>1234.95</v>
      </c>
      <c r="I122" s="13">
        <f t="shared" si="151"/>
        <v>124.05</v>
      </c>
      <c r="J122" s="14">
        <f t="shared" si="118"/>
        <v>1359</v>
      </c>
      <c r="M122" s="54"/>
      <c r="N122" s="56"/>
      <c r="V122" s="74">
        <v>15</v>
      </c>
      <c r="W122" s="74" t="s">
        <v>59</v>
      </c>
      <c r="X122" s="13">
        <v>102.85</v>
      </c>
      <c r="Y122" s="13">
        <v>10.33</v>
      </c>
      <c r="Z122" s="13">
        <f t="shared" si="152"/>
        <v>113.17999999999999</v>
      </c>
      <c r="AB122" s="74">
        <v>15</v>
      </c>
      <c r="AC122" s="74" t="s">
        <v>59</v>
      </c>
      <c r="AD122" s="13">
        <v>132.49</v>
      </c>
      <c r="AE122" s="13">
        <v>13.31</v>
      </c>
      <c r="AF122" s="13">
        <f t="shared" si="153"/>
        <v>145.80000000000001</v>
      </c>
      <c r="AH122" s="89">
        <f t="shared" si="96"/>
        <v>-0.37859461091403135</v>
      </c>
      <c r="AI122" s="89">
        <f t="shared" si="97"/>
        <v>-0.37866265965439527</v>
      </c>
      <c r="AJ122" s="89">
        <f t="shared" si="98"/>
        <v>-0.37860082304526754</v>
      </c>
    </row>
    <row r="123" spans="1:36" x14ac:dyDescent="0.3">
      <c r="A123" s="17" t="s">
        <v>253</v>
      </c>
      <c r="B123" s="11" t="s">
        <v>254</v>
      </c>
      <c r="C123" s="12">
        <f t="shared" si="149"/>
        <v>3</v>
      </c>
      <c r="D123" s="41" t="str">
        <f t="shared" si="149"/>
        <v>m²</v>
      </c>
      <c r="E123" s="41">
        <f>ROUND((X123*(1-$M$5))*(1+BDI!$C$21),2)</f>
        <v>245.4</v>
      </c>
      <c r="F123" s="41">
        <f>ROUND((Y123*(1-$N$5))*(1+BDI!$C$21),2)</f>
        <v>30.57</v>
      </c>
      <c r="G123" s="41">
        <f t="shared" si="115"/>
        <v>275.97000000000003</v>
      </c>
      <c r="H123" s="13">
        <f t="shared" si="150"/>
        <v>736.2</v>
      </c>
      <c r="I123" s="13">
        <f t="shared" si="151"/>
        <v>91.710000000000008</v>
      </c>
      <c r="J123" s="14">
        <f t="shared" si="118"/>
        <v>827.91000000000008</v>
      </c>
      <c r="M123" s="54"/>
      <c r="N123" s="56"/>
      <c r="V123" s="74">
        <v>3</v>
      </c>
      <c r="W123" s="74" t="s">
        <v>59</v>
      </c>
      <c r="X123" s="13">
        <v>306.56</v>
      </c>
      <c r="Y123" s="13">
        <v>38.19</v>
      </c>
      <c r="Z123" s="13">
        <f t="shared" si="152"/>
        <v>344.75</v>
      </c>
      <c r="AB123" s="74">
        <v>3</v>
      </c>
      <c r="AC123" s="74" t="s">
        <v>59</v>
      </c>
      <c r="AD123" s="13">
        <v>394.91</v>
      </c>
      <c r="AE123" s="13">
        <v>49.2</v>
      </c>
      <c r="AF123" s="13">
        <f t="shared" si="153"/>
        <v>444.11</v>
      </c>
      <c r="AH123" s="89">
        <f t="shared" si="96"/>
        <v>-0.37859259071687223</v>
      </c>
      <c r="AI123" s="89">
        <f t="shared" si="97"/>
        <v>-0.37865853658536586</v>
      </c>
      <c r="AJ123" s="89">
        <f t="shared" si="98"/>
        <v>-0.3785998964220576</v>
      </c>
    </row>
    <row r="124" spans="1:36" x14ac:dyDescent="0.3">
      <c r="A124" s="17" t="s">
        <v>255</v>
      </c>
      <c r="B124" s="11" t="s">
        <v>256</v>
      </c>
      <c r="C124" s="12">
        <f t="shared" ref="C124" si="154">V124</f>
        <v>1</v>
      </c>
      <c r="D124" s="41" t="str">
        <f t="shared" ref="D124" si="155">W124</f>
        <v>m²</v>
      </c>
      <c r="E124" s="41">
        <f>ROUND((X124*(1-$M$5))*(1+BDI!$C$21),2)</f>
        <v>453.28</v>
      </c>
      <c r="F124" s="41">
        <f>ROUND((Y124*(1-$N$5))*(1+BDI!$C$21),2)</f>
        <v>41.87</v>
      </c>
      <c r="G124" s="41">
        <f t="shared" ref="G124" si="156">F124+E124</f>
        <v>495.15</v>
      </c>
      <c r="H124" s="13">
        <f t="shared" ref="H124" si="157">C124*E124</f>
        <v>453.28</v>
      </c>
      <c r="I124" s="13">
        <f t="shared" ref="I124" si="158">C124*F124</f>
        <v>41.87</v>
      </c>
      <c r="J124" s="14">
        <f t="shared" ref="J124" si="159">SUM(E124:F124)*C124</f>
        <v>495.15</v>
      </c>
      <c r="M124" s="54"/>
      <c r="N124" s="56"/>
      <c r="V124" s="74">
        <v>1</v>
      </c>
      <c r="W124" s="74" t="s">
        <v>59</v>
      </c>
      <c r="X124" s="13">
        <v>566.25</v>
      </c>
      <c r="Y124" s="13">
        <v>52.3</v>
      </c>
      <c r="Z124" s="13">
        <f t="shared" ref="Z124" si="160">SUM(X124:Y124)</f>
        <v>618.54999999999995</v>
      </c>
      <c r="AB124" s="74">
        <v>1</v>
      </c>
      <c r="AC124" s="74" t="s">
        <v>59</v>
      </c>
      <c r="AD124" s="13">
        <v>729.44</v>
      </c>
      <c r="AE124" s="13">
        <v>67.37</v>
      </c>
      <c r="AF124" s="13">
        <f t="shared" ref="AF124" si="161">SUM(AD124:AE124)</f>
        <v>796.81000000000006</v>
      </c>
      <c r="AH124" s="89">
        <f t="shared" ref="AH124" si="162">IF(E124=0,0,(E124/AD124)-1)</f>
        <v>-0.37859179644658925</v>
      </c>
      <c r="AI124" s="89">
        <f t="shared" ref="AI124" si="163">IF(F124=0,0,(F124/AE124)-1)</f>
        <v>-0.37850675374795906</v>
      </c>
      <c r="AJ124" s="89">
        <f t="shared" ref="AJ124" si="164">IF(G124=0,0,(G124/AF124)-1)</f>
        <v>-0.37858460611689115</v>
      </c>
    </row>
    <row r="125" spans="1:36" x14ac:dyDescent="0.3">
      <c r="A125" s="17" t="s">
        <v>257</v>
      </c>
      <c r="B125" s="11" t="s">
        <v>258</v>
      </c>
      <c r="C125" s="12">
        <f t="shared" si="149"/>
        <v>1</v>
      </c>
      <c r="D125" s="41" t="str">
        <f t="shared" si="149"/>
        <v>m²</v>
      </c>
      <c r="E125" s="41">
        <f>ROUND((X125*(1-$M$5))*(1+BDI!$C$21),2)</f>
        <v>215.97</v>
      </c>
      <c r="F125" s="41">
        <f>ROUND((Y125*(1-$N$5))*(1+BDI!$C$21),2)</f>
        <v>35.56</v>
      </c>
      <c r="G125" s="41">
        <f t="shared" si="115"/>
        <v>251.53</v>
      </c>
      <c r="H125" s="13">
        <f t="shared" si="150"/>
        <v>215.97</v>
      </c>
      <c r="I125" s="13">
        <f t="shared" si="151"/>
        <v>35.56</v>
      </c>
      <c r="J125" s="14">
        <f t="shared" si="118"/>
        <v>251.53</v>
      </c>
      <c r="M125" s="54"/>
      <c r="N125" s="56"/>
      <c r="V125" s="74">
        <v>1</v>
      </c>
      <c r="W125" s="74" t="s">
        <v>59</v>
      </c>
      <c r="X125" s="13">
        <v>269.8</v>
      </c>
      <c r="Y125" s="13">
        <v>44.42</v>
      </c>
      <c r="Z125" s="13">
        <f t="shared" si="152"/>
        <v>314.22000000000003</v>
      </c>
      <c r="AB125" s="74">
        <v>1</v>
      </c>
      <c r="AC125" s="74" t="s">
        <v>59</v>
      </c>
      <c r="AD125" s="13">
        <v>347.56</v>
      </c>
      <c r="AE125" s="13">
        <v>57.22</v>
      </c>
      <c r="AF125" s="13">
        <f t="shared" si="153"/>
        <v>404.78</v>
      </c>
      <c r="AH125" s="89">
        <f t="shared" si="96"/>
        <v>-0.37861088732880654</v>
      </c>
      <c r="AI125" s="89">
        <f t="shared" si="97"/>
        <v>-0.37853897238727707</v>
      </c>
      <c r="AJ125" s="89">
        <f t="shared" si="98"/>
        <v>-0.37860072137951473</v>
      </c>
    </row>
    <row r="126" spans="1:36" x14ac:dyDescent="0.3">
      <c r="A126" s="15">
        <v>12</v>
      </c>
      <c r="B126" s="16" t="s">
        <v>259</v>
      </c>
      <c r="C126" s="76"/>
      <c r="D126" s="58"/>
      <c r="E126" s="58"/>
      <c r="F126" s="58"/>
      <c r="G126" s="58"/>
      <c r="H126" s="24">
        <f t="shared" ref="H126:I126" si="165">SUM(H127:H140)</f>
        <v>122406.26999999997</v>
      </c>
      <c r="I126" s="24">
        <f t="shared" si="165"/>
        <v>37201.310000000012</v>
      </c>
      <c r="J126" s="24">
        <f>SUM(J127:J140)</f>
        <v>159607.57999999999</v>
      </c>
      <c r="M126" s="54"/>
      <c r="N126" s="55"/>
      <c r="V126" s="75"/>
      <c r="W126" s="75"/>
      <c r="X126" s="23"/>
      <c r="Y126" s="23"/>
      <c r="Z126" s="23"/>
      <c r="AB126" s="75"/>
      <c r="AC126" s="75"/>
      <c r="AD126" s="23"/>
      <c r="AE126" s="23"/>
      <c r="AF126" s="23"/>
      <c r="AH126" s="89">
        <f t="shared" si="96"/>
        <v>0</v>
      </c>
      <c r="AI126" s="89">
        <f t="shared" si="97"/>
        <v>0</v>
      </c>
      <c r="AJ126" s="89">
        <f t="shared" si="98"/>
        <v>0</v>
      </c>
    </row>
    <row r="127" spans="1:36" x14ac:dyDescent="0.3">
      <c r="A127" s="17" t="s">
        <v>260</v>
      </c>
      <c r="B127" s="11" t="s">
        <v>261</v>
      </c>
      <c r="C127" s="12">
        <f t="shared" ref="C127:C140" si="166">V127</f>
        <v>72</v>
      </c>
      <c r="D127" s="41" t="str">
        <f t="shared" ref="D127:D140" si="167">W127</f>
        <v>m²</v>
      </c>
      <c r="E127" s="41">
        <f>ROUND((X127*(1-$M$5))*(1+BDI!$C$21),2)</f>
        <v>156.26</v>
      </c>
      <c r="F127" s="41">
        <f>ROUND((Y127*(1-$N$5))*(1+BDI!$C$21),2)</f>
        <v>37.28</v>
      </c>
      <c r="G127" s="41">
        <f t="shared" si="115"/>
        <v>193.54</v>
      </c>
      <c r="H127" s="13">
        <f t="shared" ref="H127:H140" si="168">C127*E127</f>
        <v>11250.72</v>
      </c>
      <c r="I127" s="13">
        <f t="shared" ref="I127:I140" si="169">C127*F127</f>
        <v>2684.16</v>
      </c>
      <c r="J127" s="14">
        <f t="shared" si="118"/>
        <v>13934.88</v>
      </c>
      <c r="M127" s="54"/>
      <c r="N127" s="56"/>
      <c r="V127" s="74">
        <v>72</v>
      </c>
      <c r="W127" s="74" t="s">
        <v>59</v>
      </c>
      <c r="X127" s="13">
        <v>195.2</v>
      </c>
      <c r="Y127" s="13">
        <v>46.57</v>
      </c>
      <c r="Z127" s="13">
        <f t="shared" ref="Z127:Z140" si="170">SUM(X127:Y127)</f>
        <v>241.76999999999998</v>
      </c>
      <c r="AB127" s="74">
        <v>72</v>
      </c>
      <c r="AC127" s="74" t="s">
        <v>59</v>
      </c>
      <c r="AD127" s="13">
        <v>251.46</v>
      </c>
      <c r="AE127" s="13">
        <v>59.99</v>
      </c>
      <c r="AF127" s="13">
        <f t="shared" ref="AF127:AF136" si="171">SUM(AD127:AE127)</f>
        <v>311.45</v>
      </c>
      <c r="AH127" s="89">
        <f t="shared" si="96"/>
        <v>-0.37858904000636284</v>
      </c>
      <c r="AI127" s="89">
        <f t="shared" si="97"/>
        <v>-0.3785630938489748</v>
      </c>
      <c r="AJ127" s="89">
        <f t="shared" si="98"/>
        <v>-0.37858404238240484</v>
      </c>
    </row>
    <row r="128" spans="1:36" x14ac:dyDescent="0.3">
      <c r="A128" s="17" t="s">
        <v>262</v>
      </c>
      <c r="B128" s="11" t="s">
        <v>263</v>
      </c>
      <c r="C128" s="12">
        <f t="shared" si="166"/>
        <v>1</v>
      </c>
      <c r="D128" s="41" t="str">
        <f t="shared" si="167"/>
        <v>m²</v>
      </c>
      <c r="E128" s="41">
        <f>ROUND((X128*(1-$M$5))*(1+BDI!$C$21),2)</f>
        <v>151.74</v>
      </c>
      <c r="F128" s="41">
        <f>ROUND((Y128*(1-$N$5))*(1+BDI!$C$21),2)</f>
        <v>54.04</v>
      </c>
      <c r="G128" s="41">
        <f t="shared" si="115"/>
        <v>205.78</v>
      </c>
      <c r="H128" s="13">
        <f t="shared" si="168"/>
        <v>151.74</v>
      </c>
      <c r="I128" s="13">
        <f t="shared" si="169"/>
        <v>54.04</v>
      </c>
      <c r="J128" s="14">
        <f t="shared" si="118"/>
        <v>205.78</v>
      </c>
      <c r="M128" s="54"/>
      <c r="N128" s="56"/>
      <c r="V128" s="74">
        <v>1</v>
      </c>
      <c r="W128" s="74" t="s">
        <v>59</v>
      </c>
      <c r="X128" s="13">
        <v>189.56</v>
      </c>
      <c r="Y128" s="13">
        <v>67.510000000000005</v>
      </c>
      <c r="Z128" s="13">
        <f t="shared" si="170"/>
        <v>257.07</v>
      </c>
      <c r="AB128" s="74">
        <v>1</v>
      </c>
      <c r="AC128" s="74" t="s">
        <v>59</v>
      </c>
      <c r="AD128" s="13">
        <v>244.19</v>
      </c>
      <c r="AE128" s="13">
        <v>86.97</v>
      </c>
      <c r="AF128" s="13">
        <f t="shared" si="171"/>
        <v>331.15999999999997</v>
      </c>
      <c r="AH128" s="89">
        <f t="shared" si="96"/>
        <v>-0.37859863221262124</v>
      </c>
      <c r="AI128" s="89">
        <f t="shared" si="97"/>
        <v>-0.37863631137173737</v>
      </c>
      <c r="AJ128" s="89">
        <f t="shared" si="98"/>
        <v>-0.37860852759995167</v>
      </c>
    </row>
    <row r="129" spans="1:36" x14ac:dyDescent="0.3">
      <c r="A129" s="17" t="s">
        <v>264</v>
      </c>
      <c r="B129" s="11" t="s">
        <v>265</v>
      </c>
      <c r="C129" s="12">
        <f t="shared" si="166"/>
        <v>11</v>
      </c>
      <c r="D129" s="41" t="str">
        <f t="shared" si="167"/>
        <v>un</v>
      </c>
      <c r="E129" s="41">
        <f>ROUND((X129*(1-$M$5))*(1+BDI!$C$21),2)</f>
        <v>420.28</v>
      </c>
      <c r="F129" s="41">
        <f>ROUND((Y129*(1-$N$5))*(1+BDI!$C$21),2)</f>
        <v>37.28</v>
      </c>
      <c r="G129" s="41">
        <f t="shared" si="115"/>
        <v>457.55999999999995</v>
      </c>
      <c r="H129" s="13">
        <f t="shared" si="168"/>
        <v>4623.08</v>
      </c>
      <c r="I129" s="13">
        <f t="shared" si="169"/>
        <v>410.08000000000004</v>
      </c>
      <c r="J129" s="14">
        <f t="shared" si="118"/>
        <v>5033.16</v>
      </c>
      <c r="M129" s="54"/>
      <c r="N129" s="56"/>
      <c r="V129" s="74">
        <v>11</v>
      </c>
      <c r="W129" s="74" t="s">
        <v>109</v>
      </c>
      <c r="X129" s="13">
        <v>525.03</v>
      </c>
      <c r="Y129" s="13">
        <v>46.57</v>
      </c>
      <c r="Z129" s="13">
        <f t="shared" si="170"/>
        <v>571.6</v>
      </c>
      <c r="AB129" s="74">
        <v>11</v>
      </c>
      <c r="AC129" s="74" t="s">
        <v>109</v>
      </c>
      <c r="AD129" s="13">
        <v>676.34</v>
      </c>
      <c r="AE129" s="13">
        <v>59.99</v>
      </c>
      <c r="AF129" s="13">
        <f t="shared" si="171"/>
        <v>736.33</v>
      </c>
      <c r="AH129" s="89">
        <f t="shared" si="96"/>
        <v>-0.37859656385841445</v>
      </c>
      <c r="AI129" s="89">
        <f t="shared" si="97"/>
        <v>-0.3785630938489748</v>
      </c>
      <c r="AJ129" s="89">
        <f t="shared" si="98"/>
        <v>-0.3785938370024311</v>
      </c>
    </row>
    <row r="130" spans="1:36" x14ac:dyDescent="0.3">
      <c r="A130" s="17" t="s">
        <v>266</v>
      </c>
      <c r="B130" s="11" t="s">
        <v>267</v>
      </c>
      <c r="C130" s="12">
        <f t="shared" si="166"/>
        <v>517</v>
      </c>
      <c r="D130" s="41" t="str">
        <f t="shared" si="167"/>
        <v>m²</v>
      </c>
      <c r="E130" s="41">
        <f>ROUND((X130*(1-$M$5))*(1+BDI!$C$21),2)</f>
        <v>108.71</v>
      </c>
      <c r="F130" s="41">
        <f>ROUND((Y130*(1-$N$5))*(1+BDI!$C$21),2)</f>
        <v>12.34</v>
      </c>
      <c r="G130" s="41">
        <f t="shared" si="115"/>
        <v>121.05</v>
      </c>
      <c r="H130" s="13">
        <f t="shared" si="168"/>
        <v>56203.07</v>
      </c>
      <c r="I130" s="13">
        <f t="shared" si="169"/>
        <v>6379.78</v>
      </c>
      <c r="J130" s="14">
        <f t="shared" si="118"/>
        <v>62582.85</v>
      </c>
      <c r="M130" s="54"/>
      <c r="N130" s="56"/>
      <c r="V130" s="74">
        <v>517</v>
      </c>
      <c r="W130" s="74" t="s">
        <v>59</v>
      </c>
      <c r="X130" s="13">
        <v>135.80000000000001</v>
      </c>
      <c r="Y130" s="13">
        <v>15.41</v>
      </c>
      <c r="Z130" s="13">
        <f t="shared" si="170"/>
        <v>151.21</v>
      </c>
      <c r="AB130" s="74">
        <v>517</v>
      </c>
      <c r="AC130" s="74" t="s">
        <v>59</v>
      </c>
      <c r="AD130" s="13">
        <v>174.94</v>
      </c>
      <c r="AE130" s="13">
        <v>19.850000000000001</v>
      </c>
      <c r="AF130" s="13">
        <f t="shared" si="171"/>
        <v>194.79</v>
      </c>
      <c r="AH130" s="89">
        <f t="shared" si="96"/>
        <v>-0.37858694409511839</v>
      </c>
      <c r="AI130" s="89">
        <f t="shared" si="97"/>
        <v>-0.37833753148614613</v>
      </c>
      <c r="AJ130" s="89">
        <f t="shared" si="98"/>
        <v>-0.3785615277991683</v>
      </c>
    </row>
    <row r="131" spans="1:36" x14ac:dyDescent="0.3">
      <c r="A131" s="17" t="s">
        <v>268</v>
      </c>
      <c r="B131" s="11" t="s">
        <v>269</v>
      </c>
      <c r="C131" s="12">
        <f t="shared" si="166"/>
        <v>455</v>
      </c>
      <c r="D131" s="41" t="str">
        <f t="shared" si="167"/>
        <v>m²</v>
      </c>
      <c r="E131" s="41">
        <f>ROUND((X131*(1-$M$5))*(1+BDI!$C$21),2)</f>
        <v>43.27</v>
      </c>
      <c r="F131" s="41">
        <f>ROUND((Y131*(1-$N$5))*(1+BDI!$C$21),2)</f>
        <v>33.96</v>
      </c>
      <c r="G131" s="41">
        <f t="shared" si="115"/>
        <v>77.23</v>
      </c>
      <c r="H131" s="13">
        <f t="shared" si="168"/>
        <v>19687.850000000002</v>
      </c>
      <c r="I131" s="13">
        <f t="shared" si="169"/>
        <v>15451.800000000001</v>
      </c>
      <c r="J131" s="14">
        <f t="shared" si="118"/>
        <v>35139.65</v>
      </c>
      <c r="M131" s="54"/>
      <c r="N131" s="56"/>
      <c r="V131" s="74">
        <v>455</v>
      </c>
      <c r="W131" s="74" t="s">
        <v>59</v>
      </c>
      <c r="X131" s="13">
        <v>54.05</v>
      </c>
      <c r="Y131" s="13">
        <v>42.42</v>
      </c>
      <c r="Z131" s="13">
        <f t="shared" si="170"/>
        <v>96.47</v>
      </c>
      <c r="AB131" s="74">
        <v>455</v>
      </c>
      <c r="AC131" s="74" t="s">
        <v>59</v>
      </c>
      <c r="AD131" s="13">
        <v>69.63</v>
      </c>
      <c r="AE131" s="13">
        <v>54.65</v>
      </c>
      <c r="AF131" s="13">
        <f t="shared" si="171"/>
        <v>124.28</v>
      </c>
      <c r="AH131" s="89">
        <f t="shared" si="96"/>
        <v>-0.37857245440183818</v>
      </c>
      <c r="AI131" s="89">
        <f t="shared" si="97"/>
        <v>-0.37859103385178405</v>
      </c>
      <c r="AJ131" s="89">
        <f t="shared" si="98"/>
        <v>-0.37858062439652396</v>
      </c>
    </row>
    <row r="132" spans="1:36" x14ac:dyDescent="0.3">
      <c r="A132" s="17" t="s">
        <v>270</v>
      </c>
      <c r="B132" s="11" t="s">
        <v>271</v>
      </c>
      <c r="C132" s="12">
        <f t="shared" si="166"/>
        <v>42</v>
      </c>
      <c r="D132" s="41" t="str">
        <f t="shared" si="167"/>
        <v>m²</v>
      </c>
      <c r="E132" s="41">
        <f>ROUND((X132*(1-$M$5))*(1+BDI!$C$21),2)</f>
        <v>11.51</v>
      </c>
      <c r="F132" s="41">
        <f>ROUND((Y132*(1-$N$5))*(1+BDI!$C$21),2)</f>
        <v>21.81</v>
      </c>
      <c r="G132" s="41">
        <f t="shared" si="115"/>
        <v>33.32</v>
      </c>
      <c r="H132" s="13">
        <f t="shared" si="168"/>
        <v>483.42</v>
      </c>
      <c r="I132" s="13">
        <f t="shared" si="169"/>
        <v>916.02</v>
      </c>
      <c r="J132" s="14">
        <f t="shared" si="118"/>
        <v>1399.44</v>
      </c>
      <c r="M132" s="54"/>
      <c r="N132" s="56"/>
      <c r="V132" s="74">
        <v>42</v>
      </c>
      <c r="W132" s="74" t="s">
        <v>59</v>
      </c>
      <c r="X132" s="13">
        <v>14.38</v>
      </c>
      <c r="Y132" s="13">
        <v>27.25</v>
      </c>
      <c r="Z132" s="13">
        <f t="shared" si="170"/>
        <v>41.63</v>
      </c>
      <c r="AB132" s="74">
        <v>42</v>
      </c>
      <c r="AC132" s="74" t="s">
        <v>59</v>
      </c>
      <c r="AD132" s="13">
        <v>18.52</v>
      </c>
      <c r="AE132" s="13">
        <v>35.1</v>
      </c>
      <c r="AF132" s="13">
        <f t="shared" si="171"/>
        <v>53.620000000000005</v>
      </c>
      <c r="AH132" s="89">
        <f t="shared" si="96"/>
        <v>-0.37850971922246224</v>
      </c>
      <c r="AI132" s="89">
        <f t="shared" si="97"/>
        <v>-0.37863247863247873</v>
      </c>
      <c r="AJ132" s="89">
        <f t="shared" si="98"/>
        <v>-0.37859007832898173</v>
      </c>
    </row>
    <row r="133" spans="1:36" x14ac:dyDescent="0.3">
      <c r="A133" s="17" t="s">
        <v>272</v>
      </c>
      <c r="B133" s="11" t="s">
        <v>273</v>
      </c>
      <c r="C133" s="12">
        <f t="shared" si="166"/>
        <v>25</v>
      </c>
      <c r="D133" s="41" t="str">
        <f t="shared" si="167"/>
        <v>m</v>
      </c>
      <c r="E133" s="41">
        <f>ROUND((X133*(1-$M$5))*(1+BDI!$C$21),2)</f>
        <v>6.65</v>
      </c>
      <c r="F133" s="41">
        <f>ROUND((Y133*(1-$N$5))*(1+BDI!$C$21),2)</f>
        <v>6.61</v>
      </c>
      <c r="G133" s="41">
        <f t="shared" si="115"/>
        <v>13.260000000000002</v>
      </c>
      <c r="H133" s="13">
        <f t="shared" si="168"/>
        <v>166.25</v>
      </c>
      <c r="I133" s="13">
        <f t="shared" si="169"/>
        <v>165.25</v>
      </c>
      <c r="J133" s="14">
        <f t="shared" si="118"/>
        <v>331.50000000000006</v>
      </c>
      <c r="M133" s="54"/>
      <c r="N133" s="56"/>
      <c r="V133" s="74">
        <v>25</v>
      </c>
      <c r="W133" s="74" t="s">
        <v>75</v>
      </c>
      <c r="X133" s="13">
        <v>8.31</v>
      </c>
      <c r="Y133" s="13">
        <v>8.26</v>
      </c>
      <c r="Z133" s="13">
        <f t="shared" si="170"/>
        <v>16.57</v>
      </c>
      <c r="AB133" s="74">
        <v>25</v>
      </c>
      <c r="AC133" s="74" t="s">
        <v>75</v>
      </c>
      <c r="AD133" s="13">
        <v>10.7</v>
      </c>
      <c r="AE133" s="13">
        <v>10.64</v>
      </c>
      <c r="AF133" s="13">
        <f t="shared" si="171"/>
        <v>21.34</v>
      </c>
      <c r="AH133" s="89">
        <f t="shared" si="96"/>
        <v>-0.37850467289719614</v>
      </c>
      <c r="AI133" s="89">
        <f t="shared" si="97"/>
        <v>-0.37875939849624063</v>
      </c>
      <c r="AJ133" s="89">
        <f t="shared" si="98"/>
        <v>-0.37863167760074967</v>
      </c>
    </row>
    <row r="134" spans="1:36" x14ac:dyDescent="0.3">
      <c r="A134" s="17" t="s">
        <v>274</v>
      </c>
      <c r="B134" s="11" t="s">
        <v>275</v>
      </c>
      <c r="C134" s="12">
        <f t="shared" si="166"/>
        <v>56</v>
      </c>
      <c r="D134" s="41" t="str">
        <f t="shared" si="167"/>
        <v>m²</v>
      </c>
      <c r="E134" s="41">
        <f>ROUND((X134*(1-$M$5))*(1+BDI!$C$21),2)</f>
        <v>328.53</v>
      </c>
      <c r="F134" s="41">
        <f>ROUND((Y134*(1-$N$5))*(1+BDI!$C$21),2)</f>
        <v>27.01</v>
      </c>
      <c r="G134" s="41">
        <f t="shared" si="115"/>
        <v>355.53999999999996</v>
      </c>
      <c r="H134" s="13">
        <f t="shared" si="168"/>
        <v>18397.68</v>
      </c>
      <c r="I134" s="13">
        <f t="shared" si="169"/>
        <v>1512.5600000000002</v>
      </c>
      <c r="J134" s="14">
        <f t="shared" si="118"/>
        <v>19910.239999999998</v>
      </c>
      <c r="M134" s="54"/>
      <c r="N134" s="56"/>
      <c r="V134" s="74">
        <v>56</v>
      </c>
      <c r="W134" s="74" t="s">
        <v>59</v>
      </c>
      <c r="X134" s="13">
        <v>410.41</v>
      </c>
      <c r="Y134" s="13">
        <v>33.74</v>
      </c>
      <c r="Z134" s="13">
        <f t="shared" si="170"/>
        <v>444.15000000000003</v>
      </c>
      <c r="AB134" s="74">
        <v>56</v>
      </c>
      <c r="AC134" s="74" t="s">
        <v>59</v>
      </c>
      <c r="AD134" s="13">
        <v>528.69000000000005</v>
      </c>
      <c r="AE134" s="13">
        <v>43.46</v>
      </c>
      <c r="AF134" s="13">
        <f t="shared" si="171"/>
        <v>572.15000000000009</v>
      </c>
      <c r="AH134" s="89">
        <f t="shared" si="96"/>
        <v>-0.37859615275492264</v>
      </c>
      <c r="AI134" s="89">
        <f t="shared" si="97"/>
        <v>-0.37850897376898296</v>
      </c>
      <c r="AJ134" s="89">
        <f t="shared" si="98"/>
        <v>-0.37858953071746937</v>
      </c>
    </row>
    <row r="135" spans="1:36" x14ac:dyDescent="0.3">
      <c r="A135" s="17" t="s">
        <v>276</v>
      </c>
      <c r="B135" s="11" t="s">
        <v>277</v>
      </c>
      <c r="C135" s="12">
        <f t="shared" si="166"/>
        <v>790</v>
      </c>
      <c r="D135" s="41" t="str">
        <f t="shared" si="167"/>
        <v>m²</v>
      </c>
      <c r="E135" s="41">
        <f>ROUND((X135*(1-$M$5))*(1+BDI!$C$21),2)</f>
        <v>10.26</v>
      </c>
      <c r="F135" s="41">
        <f>ROUND((Y135*(1-$N$5))*(1+BDI!$C$21),2)</f>
        <v>10.91</v>
      </c>
      <c r="G135" s="41">
        <f t="shared" si="115"/>
        <v>21.17</v>
      </c>
      <c r="H135" s="13">
        <f t="shared" si="168"/>
        <v>8105.4</v>
      </c>
      <c r="I135" s="13">
        <f t="shared" si="169"/>
        <v>8618.9</v>
      </c>
      <c r="J135" s="14">
        <f t="shared" si="118"/>
        <v>16724.300000000003</v>
      </c>
      <c r="M135" s="54"/>
      <c r="N135" s="55"/>
      <c r="V135" s="74">
        <v>790</v>
      </c>
      <c r="W135" s="74" t="s">
        <v>59</v>
      </c>
      <c r="X135" s="13">
        <v>12.82</v>
      </c>
      <c r="Y135" s="13">
        <v>13.63</v>
      </c>
      <c r="Z135" s="13">
        <f t="shared" si="170"/>
        <v>26.450000000000003</v>
      </c>
      <c r="AB135" s="74">
        <v>790</v>
      </c>
      <c r="AC135" s="74" t="s">
        <v>59</v>
      </c>
      <c r="AD135" s="13">
        <v>16.510000000000002</v>
      </c>
      <c r="AE135" s="13">
        <v>17.559999999999999</v>
      </c>
      <c r="AF135" s="13">
        <f t="shared" si="171"/>
        <v>34.07</v>
      </c>
      <c r="AH135" s="89">
        <f t="shared" si="96"/>
        <v>-0.37855844942459127</v>
      </c>
      <c r="AI135" s="89">
        <f t="shared" si="97"/>
        <v>-0.37870159453302954</v>
      </c>
      <c r="AJ135" s="89">
        <f t="shared" si="98"/>
        <v>-0.37863222776636329</v>
      </c>
    </row>
    <row r="136" spans="1:36" x14ac:dyDescent="0.3">
      <c r="A136" s="17" t="s">
        <v>278</v>
      </c>
      <c r="B136" s="11" t="s">
        <v>279</v>
      </c>
      <c r="C136" s="12">
        <f t="shared" si="166"/>
        <v>26</v>
      </c>
      <c r="D136" s="41" t="str">
        <f t="shared" si="167"/>
        <v>m²</v>
      </c>
      <c r="E136" s="41">
        <f>ROUND((X136*(1-$M$5))*(1+BDI!$C$21),2)</f>
        <v>49.42</v>
      </c>
      <c r="F136" s="41">
        <f>ROUND((Y136*(1-$N$5))*(1+BDI!$C$21),2)</f>
        <v>29.71</v>
      </c>
      <c r="G136" s="41">
        <f t="shared" si="115"/>
        <v>79.13</v>
      </c>
      <c r="H136" s="13">
        <f t="shared" si="168"/>
        <v>1284.92</v>
      </c>
      <c r="I136" s="13">
        <f t="shared" si="169"/>
        <v>772.46</v>
      </c>
      <c r="J136" s="14">
        <f t="shared" si="118"/>
        <v>2057.38</v>
      </c>
      <c r="M136" s="54"/>
      <c r="N136" s="56"/>
      <c r="V136" s="74">
        <v>26</v>
      </c>
      <c r="W136" s="74" t="s">
        <v>59</v>
      </c>
      <c r="X136" s="13">
        <v>61.74</v>
      </c>
      <c r="Y136" s="13">
        <v>37.11</v>
      </c>
      <c r="Z136" s="13">
        <f t="shared" si="170"/>
        <v>98.85</v>
      </c>
      <c r="AB136" s="74">
        <v>26</v>
      </c>
      <c r="AC136" s="74" t="s">
        <v>59</v>
      </c>
      <c r="AD136" s="13">
        <v>79.53</v>
      </c>
      <c r="AE136" s="13">
        <v>47.81</v>
      </c>
      <c r="AF136" s="13">
        <f t="shared" si="171"/>
        <v>127.34</v>
      </c>
      <c r="AH136" s="89">
        <f t="shared" si="96"/>
        <v>-0.3785992707154533</v>
      </c>
      <c r="AI136" s="89">
        <f t="shared" si="97"/>
        <v>-0.37858188663459524</v>
      </c>
      <c r="AJ136" s="89">
        <f t="shared" si="98"/>
        <v>-0.37859274383540131</v>
      </c>
    </row>
    <row r="137" spans="1:36" x14ac:dyDescent="0.3">
      <c r="A137" s="17" t="s">
        <v>280</v>
      </c>
      <c r="B137" s="11" t="s">
        <v>281</v>
      </c>
      <c r="C137" s="12">
        <f t="shared" si="166"/>
        <v>15</v>
      </c>
      <c r="D137" s="41" t="str">
        <f t="shared" si="167"/>
        <v>m²</v>
      </c>
      <c r="E137" s="41">
        <f>ROUND((X137*(1-$M$5))*(1+BDI!$C$21),2)</f>
        <v>132.76</v>
      </c>
      <c r="F137" s="41">
        <f>ROUND((Y137*(1-$N$5))*(1+BDI!$C$21),2)</f>
        <v>13.5</v>
      </c>
      <c r="G137" s="41">
        <f t="shared" si="115"/>
        <v>146.26</v>
      </c>
      <c r="H137" s="13">
        <f t="shared" si="168"/>
        <v>1991.3999999999999</v>
      </c>
      <c r="I137" s="13">
        <f t="shared" si="169"/>
        <v>202.5</v>
      </c>
      <c r="J137" s="14">
        <f t="shared" si="118"/>
        <v>2193.8999999999996</v>
      </c>
      <c r="M137" s="54"/>
      <c r="N137" s="56"/>
      <c r="V137" s="74">
        <v>15</v>
      </c>
      <c r="W137" s="74" t="s">
        <v>59</v>
      </c>
      <c r="X137" s="13">
        <v>165.85</v>
      </c>
      <c r="Y137" s="13">
        <v>16.87</v>
      </c>
      <c r="Z137" s="13">
        <f t="shared" ref="Z137" si="172">SUM(X137:Y137)</f>
        <v>182.72</v>
      </c>
      <c r="AB137" s="74">
        <v>15</v>
      </c>
      <c r="AC137" s="74" t="s">
        <v>59</v>
      </c>
      <c r="AD137" s="13">
        <v>213.65</v>
      </c>
      <c r="AE137" s="13">
        <v>21.73</v>
      </c>
      <c r="AF137" s="13">
        <f t="shared" ref="AF137" si="173">SUM(AD137:AE137)</f>
        <v>235.38</v>
      </c>
      <c r="AH137" s="89">
        <f t="shared" ref="AH137:AH138" si="174">IF(E137=0,0,(E137/AD137)-1)</f>
        <v>-0.378609875965364</v>
      </c>
      <c r="AI137" s="89">
        <f t="shared" ref="AI137:AI138" si="175">IF(F137=0,0,(F137/AE137)-1)</f>
        <v>-0.378739070409572</v>
      </c>
      <c r="AJ137" s="89">
        <f t="shared" ref="AJ137:AJ138" si="176">IF(G137=0,0,(G137/AF137)-1)</f>
        <v>-0.37862180304188975</v>
      </c>
    </row>
    <row r="138" spans="1:36" x14ac:dyDescent="0.3">
      <c r="A138" s="17" t="s">
        <v>282</v>
      </c>
      <c r="B138" s="11" t="s">
        <v>283</v>
      </c>
      <c r="C138" s="12">
        <f t="shared" ref="C138" si="177">V138</f>
        <v>1</v>
      </c>
      <c r="D138" s="41" t="str">
        <f t="shared" ref="D138" si="178">W138</f>
        <v>m²</v>
      </c>
      <c r="E138" s="41">
        <f>ROUND((X138*(1-$M$5))*(1+BDI!$C$21),2)</f>
        <v>7.18</v>
      </c>
      <c r="F138" s="41">
        <f>ROUND((Y138*(1-$N$5))*(1+BDI!$C$21),2)</f>
        <v>6.16</v>
      </c>
      <c r="G138" s="41">
        <f t="shared" ref="G138" si="179">F138+E138</f>
        <v>13.34</v>
      </c>
      <c r="H138" s="13">
        <f t="shared" ref="H138" si="180">C138*E138</f>
        <v>7.18</v>
      </c>
      <c r="I138" s="13">
        <f t="shared" ref="I138" si="181">C138*F138</f>
        <v>6.16</v>
      </c>
      <c r="J138" s="14">
        <f t="shared" ref="J138" si="182">SUM(E138:F138)*C138</f>
        <v>13.34</v>
      </c>
      <c r="M138" s="54"/>
      <c r="N138" s="56"/>
      <c r="V138" s="74">
        <v>1</v>
      </c>
      <c r="W138" s="74" t="s">
        <v>59</v>
      </c>
      <c r="X138" s="13">
        <v>8.9700000000000006</v>
      </c>
      <c r="Y138" s="13">
        <v>7.7</v>
      </c>
      <c r="Z138" s="13">
        <f t="shared" ref="Z138" si="183">SUM(X138:Y138)</f>
        <v>16.670000000000002</v>
      </c>
      <c r="AB138" s="74">
        <v>1</v>
      </c>
      <c r="AC138" s="74" t="s">
        <v>59</v>
      </c>
      <c r="AD138" s="13">
        <v>11.56</v>
      </c>
      <c r="AE138" s="13">
        <v>9.92</v>
      </c>
      <c r="AF138" s="13">
        <f t="shared" ref="AF138" si="184">SUM(AD138:AE138)</f>
        <v>21.48</v>
      </c>
      <c r="AH138" s="89">
        <f t="shared" si="174"/>
        <v>-0.37889273356401387</v>
      </c>
      <c r="AI138" s="89">
        <f t="shared" si="175"/>
        <v>-0.37903225806451613</v>
      </c>
      <c r="AJ138" s="89">
        <f t="shared" si="176"/>
        <v>-0.37895716945996283</v>
      </c>
    </row>
    <row r="139" spans="1:36" x14ac:dyDescent="0.3">
      <c r="A139" s="17" t="s">
        <v>284</v>
      </c>
      <c r="B139" s="11" t="s">
        <v>285</v>
      </c>
      <c r="C139" s="12">
        <f t="shared" ref="C139" si="185">V139</f>
        <v>1</v>
      </c>
      <c r="D139" s="41" t="str">
        <f t="shared" ref="D139" si="186">W139</f>
        <v>m²</v>
      </c>
      <c r="E139" s="41">
        <f>ROUND((X139*(1-$M$5))*(1+BDI!$C$21),2)</f>
        <v>29.89</v>
      </c>
      <c r="F139" s="41">
        <f>ROUND((Y139*(1-$N$5))*(1+BDI!$C$21),2)</f>
        <v>13.8</v>
      </c>
      <c r="G139" s="41">
        <f t="shared" ref="G139" si="187">F139+E139</f>
        <v>43.69</v>
      </c>
      <c r="H139" s="13">
        <f t="shared" ref="H139" si="188">C139*E139</f>
        <v>29.89</v>
      </c>
      <c r="I139" s="13">
        <f t="shared" ref="I139" si="189">C139*F139</f>
        <v>13.8</v>
      </c>
      <c r="J139" s="14">
        <f t="shared" ref="J139" si="190">SUM(E139:F139)*C139</f>
        <v>43.69</v>
      </c>
      <c r="M139" s="54"/>
      <c r="N139" s="56"/>
      <c r="V139" s="74">
        <v>1</v>
      </c>
      <c r="W139" s="74" t="s">
        <v>59</v>
      </c>
      <c r="X139" s="13">
        <v>37.340000000000003</v>
      </c>
      <c r="Y139" s="13">
        <v>17.239999999999998</v>
      </c>
      <c r="Z139" s="13">
        <f t="shared" ref="Z139" si="191">SUM(X139:Y139)</f>
        <v>54.58</v>
      </c>
      <c r="AB139" s="74">
        <v>1</v>
      </c>
      <c r="AC139" s="74" t="s">
        <v>59</v>
      </c>
      <c r="AD139" s="13">
        <v>48.1</v>
      </c>
      <c r="AE139" s="13">
        <v>22.21</v>
      </c>
      <c r="AF139" s="13">
        <f t="shared" ref="AF139" si="192">SUM(AD139:AE139)</f>
        <v>70.31</v>
      </c>
      <c r="AH139" s="89">
        <f t="shared" si="96"/>
        <v>-0.37858627858627858</v>
      </c>
      <c r="AI139" s="89">
        <f t="shared" si="97"/>
        <v>-0.37865826204412423</v>
      </c>
      <c r="AJ139" s="89">
        <f t="shared" si="98"/>
        <v>-0.3786090172095008</v>
      </c>
    </row>
    <row r="140" spans="1:36" x14ac:dyDescent="0.3">
      <c r="A140" s="17" t="s">
        <v>286</v>
      </c>
      <c r="B140" s="11" t="s">
        <v>287</v>
      </c>
      <c r="C140" s="12">
        <f t="shared" si="166"/>
        <v>1</v>
      </c>
      <c r="D140" s="41" t="str">
        <f t="shared" si="167"/>
        <v>m²</v>
      </c>
      <c r="E140" s="41">
        <f>ROUND((X140*(1-$M$5))*(1+BDI!$C$21),2)</f>
        <v>23.67</v>
      </c>
      <c r="F140" s="41">
        <f>ROUND((Y140*(1-$N$5))*(1+BDI!$C$21),2)</f>
        <v>13.8</v>
      </c>
      <c r="G140" s="41">
        <f t="shared" si="115"/>
        <v>37.47</v>
      </c>
      <c r="H140" s="13">
        <f t="shared" si="168"/>
        <v>23.67</v>
      </c>
      <c r="I140" s="13">
        <f t="shared" si="169"/>
        <v>13.8</v>
      </c>
      <c r="J140" s="14">
        <f t="shared" si="118"/>
        <v>37.47</v>
      </c>
      <c r="M140" s="54"/>
      <c r="N140" s="56"/>
      <c r="V140" s="74">
        <v>1</v>
      </c>
      <c r="W140" s="74" t="s">
        <v>59</v>
      </c>
      <c r="X140" s="13">
        <v>29.57</v>
      </c>
      <c r="Y140" s="13">
        <v>17.239999999999998</v>
      </c>
      <c r="Z140" s="13">
        <f t="shared" si="170"/>
        <v>46.81</v>
      </c>
      <c r="AB140" s="74">
        <v>1</v>
      </c>
      <c r="AC140" s="74" t="s">
        <v>59</v>
      </c>
      <c r="AD140" s="13">
        <v>38.090000000000003</v>
      </c>
      <c r="AE140" s="13">
        <v>22.21</v>
      </c>
      <c r="AF140" s="13">
        <f t="shared" ref="AF140" si="193">SUM(AD140:AE140)</f>
        <v>60.300000000000004</v>
      </c>
      <c r="AH140" s="89">
        <f t="shared" si="96"/>
        <v>-0.37857705434497246</v>
      </c>
      <c r="AI140" s="89">
        <f t="shared" si="97"/>
        <v>-0.37865826204412423</v>
      </c>
      <c r="AJ140" s="89">
        <f t="shared" si="98"/>
        <v>-0.3786069651741294</v>
      </c>
    </row>
    <row r="141" spans="1:36" x14ac:dyDescent="0.3">
      <c r="A141" s="15">
        <v>13</v>
      </c>
      <c r="B141" s="16" t="s">
        <v>288</v>
      </c>
      <c r="C141" s="76"/>
      <c r="D141" s="58"/>
      <c r="E141" s="58"/>
      <c r="F141" s="58"/>
      <c r="G141" s="58"/>
      <c r="H141" s="24">
        <f t="shared" ref="H141:I141" si="194">SUM(H142:H163)</f>
        <v>24544.58</v>
      </c>
      <c r="I141" s="24">
        <f t="shared" si="194"/>
        <v>58860.219999999994</v>
      </c>
      <c r="J141" s="24">
        <f>SUM(J142:J163)</f>
        <v>83404.799999999988</v>
      </c>
      <c r="M141" s="54"/>
      <c r="N141" s="56"/>
      <c r="V141" s="75"/>
      <c r="W141" s="75"/>
      <c r="X141" s="23"/>
      <c r="Y141" s="23"/>
      <c r="Z141" s="23"/>
      <c r="AB141" s="75"/>
      <c r="AC141" s="75"/>
      <c r="AD141" s="23"/>
      <c r="AE141" s="23"/>
      <c r="AF141" s="23"/>
      <c r="AH141" s="89">
        <f t="shared" si="96"/>
        <v>0</v>
      </c>
      <c r="AI141" s="89">
        <f t="shared" si="97"/>
        <v>0</v>
      </c>
      <c r="AJ141" s="89">
        <f t="shared" si="98"/>
        <v>0</v>
      </c>
    </row>
    <row r="142" spans="1:36" x14ac:dyDescent="0.3">
      <c r="A142" s="17" t="s">
        <v>289</v>
      </c>
      <c r="B142" s="11" t="s">
        <v>290</v>
      </c>
      <c r="C142" s="12">
        <f t="shared" ref="C142:C163" si="195">V142</f>
        <v>13</v>
      </c>
      <c r="D142" s="41" t="str">
        <f t="shared" ref="D142:D163" si="196">W142</f>
        <v>un</v>
      </c>
      <c r="E142" s="41">
        <f>ROUND((X142*(1-$M$5))*(1+BDI!$C$21),2)</f>
        <v>135.81</v>
      </c>
      <c r="F142" s="41">
        <f>ROUND((Y142*(1-$N$5))*(1+BDI!$C$21),2)</f>
        <v>111.16</v>
      </c>
      <c r="G142" s="41">
        <f t="shared" si="115"/>
        <v>246.97</v>
      </c>
      <c r="H142" s="13">
        <f t="shared" ref="H142:H163" si="197">C142*E142</f>
        <v>1765.53</v>
      </c>
      <c r="I142" s="13">
        <f t="shared" ref="I142:I163" si="198">C142*F142</f>
        <v>1445.08</v>
      </c>
      <c r="J142" s="14">
        <f t="shared" si="118"/>
        <v>3210.61</v>
      </c>
      <c r="M142" s="54"/>
      <c r="N142" s="56"/>
      <c r="V142" s="74">
        <v>13</v>
      </c>
      <c r="W142" s="74" t="s">
        <v>109</v>
      </c>
      <c r="X142" s="13">
        <v>169.66</v>
      </c>
      <c r="Y142" s="13">
        <v>138.87</v>
      </c>
      <c r="Z142" s="13">
        <f t="shared" ref="Z142:Z163" si="199">SUM(X142:Y142)</f>
        <v>308.52999999999997</v>
      </c>
      <c r="AB142" s="74">
        <v>13</v>
      </c>
      <c r="AC142" s="74" t="s">
        <v>109</v>
      </c>
      <c r="AD142" s="13">
        <v>218.56</v>
      </c>
      <c r="AE142" s="13">
        <v>178.89</v>
      </c>
      <c r="AF142" s="13">
        <f t="shared" ref="AF142:AF158" si="200">SUM(AD142:AE142)</f>
        <v>397.45</v>
      </c>
      <c r="AH142" s="89">
        <f t="shared" si="96"/>
        <v>-0.37861456808199123</v>
      </c>
      <c r="AI142" s="89">
        <f t="shared" si="97"/>
        <v>-0.37861255520152048</v>
      </c>
      <c r="AJ142" s="89">
        <f t="shared" si="98"/>
        <v>-0.37861366209586111</v>
      </c>
    </row>
    <row r="143" spans="1:36" x14ac:dyDescent="0.3">
      <c r="A143" s="17" t="s">
        <v>291</v>
      </c>
      <c r="B143" s="11" t="s">
        <v>292</v>
      </c>
      <c r="C143" s="12">
        <f t="shared" si="195"/>
        <v>15</v>
      </c>
      <c r="D143" s="41" t="str">
        <f t="shared" si="196"/>
        <v>un</v>
      </c>
      <c r="E143" s="41">
        <f>ROUND((X143*(1-$M$5))*(1+BDI!$C$21),2)</f>
        <v>199.75</v>
      </c>
      <c r="F143" s="41">
        <f>ROUND((Y143*(1-$N$5))*(1+BDI!$C$21),2)</f>
        <v>54.52</v>
      </c>
      <c r="G143" s="41">
        <f t="shared" si="115"/>
        <v>254.27</v>
      </c>
      <c r="H143" s="13">
        <f t="shared" si="197"/>
        <v>2996.25</v>
      </c>
      <c r="I143" s="13">
        <f t="shared" si="198"/>
        <v>817.80000000000007</v>
      </c>
      <c r="J143" s="14">
        <f t="shared" si="118"/>
        <v>3814.05</v>
      </c>
      <c r="M143" s="54"/>
      <c r="N143" s="56"/>
      <c r="V143" s="74">
        <v>15</v>
      </c>
      <c r="W143" s="74" t="s">
        <v>109</v>
      </c>
      <c r="X143" s="13">
        <v>249.54</v>
      </c>
      <c r="Y143" s="13">
        <v>68.11</v>
      </c>
      <c r="Z143" s="13">
        <f t="shared" si="199"/>
        <v>317.64999999999998</v>
      </c>
      <c r="AB143" s="74">
        <v>15</v>
      </c>
      <c r="AC143" s="74" t="s">
        <v>109</v>
      </c>
      <c r="AD143" s="13">
        <v>321.45999999999998</v>
      </c>
      <c r="AE143" s="13">
        <v>87.74</v>
      </c>
      <c r="AF143" s="13">
        <f t="shared" si="200"/>
        <v>409.2</v>
      </c>
      <c r="AH143" s="89">
        <f t="shared" si="96"/>
        <v>-0.3786163130716107</v>
      </c>
      <c r="AI143" s="89">
        <f t="shared" si="97"/>
        <v>-0.37861864599954409</v>
      </c>
      <c r="AJ143" s="89">
        <f t="shared" si="98"/>
        <v>-0.37861681329423258</v>
      </c>
    </row>
    <row r="144" spans="1:36" x14ac:dyDescent="0.3">
      <c r="A144" s="17" t="s">
        <v>293</v>
      </c>
      <c r="B144" s="11" t="s">
        <v>294</v>
      </c>
      <c r="C144" s="12">
        <f t="shared" si="195"/>
        <v>6</v>
      </c>
      <c r="D144" s="41" t="str">
        <f t="shared" si="196"/>
        <v>un</v>
      </c>
      <c r="E144" s="41">
        <f>ROUND((X144*(1-$M$5))*(1+BDI!$C$21),2)</f>
        <v>273.8</v>
      </c>
      <c r="F144" s="41">
        <f>ROUND((Y144*(1-$N$5))*(1+BDI!$C$21),2)</f>
        <v>59.17</v>
      </c>
      <c r="G144" s="41">
        <f t="shared" si="115"/>
        <v>332.97</v>
      </c>
      <c r="H144" s="13">
        <f t="shared" si="197"/>
        <v>1642.8000000000002</v>
      </c>
      <c r="I144" s="13">
        <f t="shared" si="198"/>
        <v>355.02</v>
      </c>
      <c r="J144" s="14">
        <f t="shared" si="118"/>
        <v>1997.8200000000002</v>
      </c>
      <c r="M144" s="54"/>
      <c r="N144" s="56"/>
      <c r="V144" s="74">
        <v>6</v>
      </c>
      <c r="W144" s="74" t="s">
        <v>109</v>
      </c>
      <c r="X144" s="13">
        <v>342.04</v>
      </c>
      <c r="Y144" s="13">
        <v>73.92</v>
      </c>
      <c r="Z144" s="13">
        <f t="shared" si="199"/>
        <v>415.96000000000004</v>
      </c>
      <c r="AB144" s="74">
        <v>6</v>
      </c>
      <c r="AC144" s="74" t="s">
        <v>109</v>
      </c>
      <c r="AD144" s="13">
        <v>440.62</v>
      </c>
      <c r="AE144" s="13">
        <v>95.22</v>
      </c>
      <c r="AF144" s="13">
        <f t="shared" si="200"/>
        <v>535.84</v>
      </c>
      <c r="AH144" s="89">
        <f t="shared" si="96"/>
        <v>-0.37860287776315193</v>
      </c>
      <c r="AI144" s="89">
        <f t="shared" si="97"/>
        <v>-0.37859693341734924</v>
      </c>
      <c r="AJ144" s="89">
        <f t="shared" si="98"/>
        <v>-0.3786018214392356</v>
      </c>
    </row>
    <row r="145" spans="1:36" x14ac:dyDescent="0.3">
      <c r="A145" s="17" t="s">
        <v>295</v>
      </c>
      <c r="B145" s="18" t="s">
        <v>296</v>
      </c>
      <c r="C145" s="12">
        <f t="shared" si="195"/>
        <v>212</v>
      </c>
      <c r="D145" s="41" t="str">
        <f t="shared" si="196"/>
        <v>m²</v>
      </c>
      <c r="E145" s="41">
        <f>ROUND((X145*(1-$M$5))*(1+BDI!$C$21),2)</f>
        <v>0</v>
      </c>
      <c r="F145" s="41">
        <f>ROUND((Y145*(1-$N$5))*(1+BDI!$C$21),2)</f>
        <v>15.66</v>
      </c>
      <c r="G145" s="41">
        <f t="shared" si="115"/>
        <v>15.66</v>
      </c>
      <c r="H145" s="13">
        <f t="shared" si="197"/>
        <v>0</v>
      </c>
      <c r="I145" s="13">
        <f t="shared" si="198"/>
        <v>3319.92</v>
      </c>
      <c r="J145" s="14">
        <f t="shared" si="118"/>
        <v>3319.92</v>
      </c>
      <c r="M145" s="54"/>
      <c r="N145" s="56"/>
      <c r="V145" s="74">
        <v>212</v>
      </c>
      <c r="W145" s="74" t="s">
        <v>59</v>
      </c>
      <c r="X145" s="13">
        <v>0</v>
      </c>
      <c r="Y145" s="13">
        <v>19.559999999999999</v>
      </c>
      <c r="Z145" s="13">
        <f t="shared" si="199"/>
        <v>19.559999999999999</v>
      </c>
      <c r="AB145" s="74">
        <v>212</v>
      </c>
      <c r="AC145" s="74" t="s">
        <v>59</v>
      </c>
      <c r="AD145" s="13">
        <v>0</v>
      </c>
      <c r="AE145" s="13">
        <v>25.2</v>
      </c>
      <c r="AF145" s="13">
        <f t="shared" si="200"/>
        <v>25.2</v>
      </c>
      <c r="AH145" s="89">
        <f t="shared" si="96"/>
        <v>0</v>
      </c>
      <c r="AI145" s="89">
        <f t="shared" si="97"/>
        <v>-0.37857142857142856</v>
      </c>
      <c r="AJ145" s="89">
        <f t="shared" si="98"/>
        <v>-0.37857142857142856</v>
      </c>
    </row>
    <row r="146" spans="1:36" x14ac:dyDescent="0.3">
      <c r="A146" s="17" t="s">
        <v>297</v>
      </c>
      <c r="B146" s="11" t="s">
        <v>298</v>
      </c>
      <c r="C146" s="12">
        <f t="shared" si="195"/>
        <v>273</v>
      </c>
      <c r="D146" s="41" t="str">
        <f t="shared" si="196"/>
        <v>un</v>
      </c>
      <c r="E146" s="41">
        <f>ROUND((X146*(1-$M$5))*(1+BDI!$C$21),2)</f>
        <v>0</v>
      </c>
      <c r="F146" s="41">
        <f>ROUND((Y146*(1-$N$5))*(1+BDI!$C$21),2)</f>
        <v>40.43</v>
      </c>
      <c r="G146" s="41">
        <f t="shared" si="115"/>
        <v>40.43</v>
      </c>
      <c r="H146" s="13">
        <f t="shared" si="197"/>
        <v>0</v>
      </c>
      <c r="I146" s="13">
        <f t="shared" si="198"/>
        <v>11037.39</v>
      </c>
      <c r="J146" s="14">
        <f t="shared" si="118"/>
        <v>11037.39</v>
      </c>
      <c r="M146" s="54"/>
      <c r="N146" s="56"/>
      <c r="V146" s="74">
        <v>273</v>
      </c>
      <c r="W146" s="74" t="s">
        <v>109</v>
      </c>
      <c r="X146" s="13">
        <v>0</v>
      </c>
      <c r="Y146" s="13">
        <v>50.51</v>
      </c>
      <c r="Z146" s="13">
        <f t="shared" si="199"/>
        <v>50.51</v>
      </c>
      <c r="AB146" s="74">
        <v>273</v>
      </c>
      <c r="AC146" s="74" t="s">
        <v>109</v>
      </c>
      <c r="AD146" s="13">
        <v>0</v>
      </c>
      <c r="AE146" s="13">
        <v>65.069999999999993</v>
      </c>
      <c r="AF146" s="13">
        <f t="shared" si="200"/>
        <v>65.069999999999993</v>
      </c>
      <c r="AH146" s="89">
        <f t="shared" si="96"/>
        <v>0</v>
      </c>
      <c r="AI146" s="89">
        <f t="shared" si="97"/>
        <v>-0.37866912555709231</v>
      </c>
      <c r="AJ146" s="89">
        <f t="shared" si="98"/>
        <v>-0.37866912555709231</v>
      </c>
    </row>
    <row r="147" spans="1:36" x14ac:dyDescent="0.3">
      <c r="A147" s="17" t="s">
        <v>299</v>
      </c>
      <c r="B147" s="11" t="s">
        <v>300</v>
      </c>
      <c r="C147" s="12">
        <f t="shared" si="195"/>
        <v>36</v>
      </c>
      <c r="D147" s="41" t="str">
        <f t="shared" si="196"/>
        <v>un</v>
      </c>
      <c r="E147" s="41">
        <f>ROUND((X147*(1-$M$5))*(1+BDI!$C$21),2)</f>
        <v>0</v>
      </c>
      <c r="F147" s="41">
        <f>ROUND((Y147*(1-$N$5))*(1+BDI!$C$21),2)</f>
        <v>44.92</v>
      </c>
      <c r="G147" s="41">
        <f t="shared" si="115"/>
        <v>44.92</v>
      </c>
      <c r="H147" s="13">
        <f t="shared" si="197"/>
        <v>0</v>
      </c>
      <c r="I147" s="13">
        <f t="shared" si="198"/>
        <v>1617.1200000000001</v>
      </c>
      <c r="J147" s="14">
        <f t="shared" si="118"/>
        <v>1617.1200000000001</v>
      </c>
      <c r="M147" s="54"/>
      <c r="N147" s="56"/>
      <c r="V147" s="74">
        <v>36</v>
      </c>
      <c r="W147" s="74" t="s">
        <v>109</v>
      </c>
      <c r="X147" s="13">
        <v>0</v>
      </c>
      <c r="Y147" s="13">
        <v>56.12</v>
      </c>
      <c r="Z147" s="13">
        <f t="shared" si="199"/>
        <v>56.12</v>
      </c>
      <c r="AB147" s="74">
        <v>36</v>
      </c>
      <c r="AC147" s="74" t="s">
        <v>109</v>
      </c>
      <c r="AD147" s="13">
        <v>0</v>
      </c>
      <c r="AE147" s="13">
        <v>72.290000000000006</v>
      </c>
      <c r="AF147" s="13">
        <f t="shared" si="200"/>
        <v>72.290000000000006</v>
      </c>
      <c r="AH147" s="89">
        <f t="shared" si="96"/>
        <v>0</v>
      </c>
      <c r="AI147" s="89">
        <f t="shared" si="97"/>
        <v>-0.37861391617097806</v>
      </c>
      <c r="AJ147" s="89">
        <f t="shared" si="98"/>
        <v>-0.37861391617097806</v>
      </c>
    </row>
    <row r="148" spans="1:36" x14ac:dyDescent="0.3">
      <c r="A148" s="17" t="s">
        <v>301</v>
      </c>
      <c r="B148" s="11" t="s">
        <v>302</v>
      </c>
      <c r="C148" s="12">
        <f t="shared" si="195"/>
        <v>118</v>
      </c>
      <c r="D148" s="41" t="str">
        <f t="shared" si="196"/>
        <v>m²</v>
      </c>
      <c r="E148" s="41">
        <f>ROUND((X148*(1-$M$5))*(1+BDI!$C$21),2)</f>
        <v>0.72</v>
      </c>
      <c r="F148" s="41">
        <f>ROUND((Y148*(1-$N$5))*(1+BDI!$C$21),2)</f>
        <v>11.65</v>
      </c>
      <c r="G148" s="41">
        <f t="shared" si="115"/>
        <v>12.370000000000001</v>
      </c>
      <c r="H148" s="13">
        <f t="shared" si="197"/>
        <v>84.96</v>
      </c>
      <c r="I148" s="13">
        <f t="shared" si="198"/>
        <v>1374.7</v>
      </c>
      <c r="J148" s="14">
        <f t="shared" si="118"/>
        <v>1459.66</v>
      </c>
      <c r="M148" s="54"/>
      <c r="N148" s="56"/>
      <c r="V148" s="74">
        <v>118</v>
      </c>
      <c r="W148" s="74" t="s">
        <v>59</v>
      </c>
      <c r="X148" s="13">
        <v>0.9</v>
      </c>
      <c r="Y148" s="13">
        <v>14.55</v>
      </c>
      <c r="Z148" s="13">
        <f t="shared" si="199"/>
        <v>15.450000000000001</v>
      </c>
      <c r="AB148" s="74">
        <v>118</v>
      </c>
      <c r="AC148" s="74" t="s">
        <v>59</v>
      </c>
      <c r="AD148" s="13">
        <v>1.1599999999999999</v>
      </c>
      <c r="AE148" s="13">
        <v>18.739999999999998</v>
      </c>
      <c r="AF148" s="13">
        <f t="shared" si="200"/>
        <v>19.899999999999999</v>
      </c>
      <c r="AH148" s="89">
        <f t="shared" si="96"/>
        <v>-0.37931034482758619</v>
      </c>
      <c r="AI148" s="89">
        <f t="shared" si="97"/>
        <v>-0.37833511205976511</v>
      </c>
      <c r="AJ148" s="89">
        <f t="shared" si="98"/>
        <v>-0.37839195979899487</v>
      </c>
    </row>
    <row r="149" spans="1:36" x14ac:dyDescent="0.3">
      <c r="A149" s="17" t="s">
        <v>303</v>
      </c>
      <c r="B149" s="11" t="s">
        <v>304</v>
      </c>
      <c r="C149" s="12">
        <f t="shared" si="195"/>
        <v>55</v>
      </c>
      <c r="D149" s="41" t="str">
        <f t="shared" si="196"/>
        <v xml:space="preserve">un </v>
      </c>
      <c r="E149" s="41">
        <f>ROUND((X149*(1-$M$5))*(1+BDI!$C$21),2)</f>
        <v>4.71</v>
      </c>
      <c r="F149" s="41">
        <f>ROUND((Y149*(1-$N$5))*(1+BDI!$C$21),2)</f>
        <v>46.6</v>
      </c>
      <c r="G149" s="41">
        <f t="shared" si="115"/>
        <v>51.31</v>
      </c>
      <c r="H149" s="13">
        <f t="shared" si="197"/>
        <v>259.05</v>
      </c>
      <c r="I149" s="13">
        <f t="shared" si="198"/>
        <v>2563</v>
      </c>
      <c r="J149" s="14">
        <f t="shared" si="118"/>
        <v>2822.05</v>
      </c>
      <c r="M149" s="54"/>
      <c r="N149" s="56"/>
      <c r="V149" s="74">
        <v>55</v>
      </c>
      <c r="W149" s="74" t="s">
        <v>30</v>
      </c>
      <c r="X149" s="13">
        <v>5.88</v>
      </c>
      <c r="Y149" s="13">
        <v>58.21</v>
      </c>
      <c r="Z149" s="13">
        <f t="shared" si="199"/>
        <v>64.09</v>
      </c>
      <c r="AB149" s="74">
        <v>55</v>
      </c>
      <c r="AC149" s="74" t="s">
        <v>30</v>
      </c>
      <c r="AD149" s="13">
        <v>7.57</v>
      </c>
      <c r="AE149" s="13">
        <v>74.989999999999995</v>
      </c>
      <c r="AF149" s="13">
        <f t="shared" si="200"/>
        <v>82.56</v>
      </c>
      <c r="AH149" s="89">
        <f t="shared" ref="AH149:AH215" si="201">IF(E149=0,0,(E149/AD149)-1)</f>
        <v>-0.37780713342140027</v>
      </c>
      <c r="AI149" s="89">
        <f t="shared" si="97"/>
        <v>-0.3785838111748232</v>
      </c>
      <c r="AJ149" s="89">
        <f t="shared" si="98"/>
        <v>-0.37851259689922478</v>
      </c>
    </row>
    <row r="150" spans="1:36" x14ac:dyDescent="0.3">
      <c r="A150" s="17" t="s">
        <v>305</v>
      </c>
      <c r="B150" s="18" t="s">
        <v>306</v>
      </c>
      <c r="C150" s="12">
        <f t="shared" si="195"/>
        <v>41</v>
      </c>
      <c r="D150" s="41" t="str">
        <f t="shared" si="196"/>
        <v>un</v>
      </c>
      <c r="E150" s="41">
        <f>ROUND((X150*(1-$M$5))*(1+BDI!$C$21),2)</f>
        <v>0.72</v>
      </c>
      <c r="F150" s="41">
        <f>ROUND((Y150*(1-$N$5))*(1+BDI!$C$21),2)</f>
        <v>67.39</v>
      </c>
      <c r="G150" s="41">
        <f t="shared" si="115"/>
        <v>68.11</v>
      </c>
      <c r="H150" s="13">
        <f t="shared" si="197"/>
        <v>29.52</v>
      </c>
      <c r="I150" s="13">
        <f t="shared" si="198"/>
        <v>2762.9900000000002</v>
      </c>
      <c r="J150" s="14">
        <f t="shared" si="118"/>
        <v>2792.5099999999998</v>
      </c>
      <c r="M150" s="54"/>
      <c r="N150" s="55"/>
      <c r="V150" s="74">
        <v>41</v>
      </c>
      <c r="W150" s="74" t="s">
        <v>109</v>
      </c>
      <c r="X150" s="13">
        <v>0.9</v>
      </c>
      <c r="Y150" s="13">
        <v>84.18</v>
      </c>
      <c r="Z150" s="13">
        <f t="shared" si="199"/>
        <v>85.080000000000013</v>
      </c>
      <c r="AB150" s="74">
        <v>41</v>
      </c>
      <c r="AC150" s="74" t="s">
        <v>109</v>
      </c>
      <c r="AD150" s="13">
        <v>1.1599999999999999</v>
      </c>
      <c r="AE150" s="13">
        <v>108.44</v>
      </c>
      <c r="AF150" s="13">
        <f t="shared" si="200"/>
        <v>109.6</v>
      </c>
      <c r="AH150" s="89">
        <f t="shared" si="201"/>
        <v>-0.37931034482758619</v>
      </c>
      <c r="AI150" s="89">
        <f t="shared" ref="AI150:AI216" si="202">IF(F150=0,0,(F150/AE150)-1)</f>
        <v>-0.37855035042419771</v>
      </c>
      <c r="AJ150" s="89">
        <f t="shared" ref="AJ150:AJ216" si="203">IF(G150=0,0,(G150/AF150)-1)</f>
        <v>-0.3785583941605839</v>
      </c>
    </row>
    <row r="151" spans="1:36" x14ac:dyDescent="0.3">
      <c r="A151" s="17" t="s">
        <v>307</v>
      </c>
      <c r="B151" s="18" t="s">
        <v>308</v>
      </c>
      <c r="C151" s="12">
        <f t="shared" si="195"/>
        <v>3</v>
      </c>
      <c r="D151" s="41" t="str">
        <f t="shared" si="196"/>
        <v>m²</v>
      </c>
      <c r="E151" s="41">
        <f>ROUND((X151*(1-$M$5))*(1+BDI!$C$21),2)</f>
        <v>0.77</v>
      </c>
      <c r="F151" s="41">
        <f>ROUND((Y151*(1-$N$5))*(1+BDI!$C$21),2)</f>
        <v>54.48</v>
      </c>
      <c r="G151" s="41">
        <f t="shared" si="115"/>
        <v>55.25</v>
      </c>
      <c r="H151" s="13">
        <f t="shared" si="197"/>
        <v>2.31</v>
      </c>
      <c r="I151" s="13">
        <f t="shared" si="198"/>
        <v>163.44</v>
      </c>
      <c r="J151" s="14">
        <f t="shared" si="118"/>
        <v>165.75</v>
      </c>
      <c r="M151" s="54"/>
      <c r="N151" s="56"/>
      <c r="V151" s="74">
        <v>3</v>
      </c>
      <c r="W151" s="74" t="s">
        <v>59</v>
      </c>
      <c r="X151" s="13">
        <v>0.96</v>
      </c>
      <c r="Y151" s="13">
        <v>68.06</v>
      </c>
      <c r="Z151" s="13">
        <f t="shared" si="199"/>
        <v>69.02</v>
      </c>
      <c r="AB151" s="74">
        <v>3</v>
      </c>
      <c r="AC151" s="74" t="s">
        <v>59</v>
      </c>
      <c r="AD151" s="13">
        <v>1.24</v>
      </c>
      <c r="AE151" s="13">
        <v>87.67</v>
      </c>
      <c r="AF151" s="13">
        <f t="shared" si="200"/>
        <v>88.91</v>
      </c>
      <c r="AH151" s="89">
        <f t="shared" si="201"/>
        <v>-0.37903225806451613</v>
      </c>
      <c r="AI151" s="89">
        <f t="shared" si="202"/>
        <v>-0.37857876126383028</v>
      </c>
      <c r="AJ151" s="89">
        <f t="shared" si="203"/>
        <v>-0.37858508604206498</v>
      </c>
    </row>
    <row r="152" spans="1:36" x14ac:dyDescent="0.3">
      <c r="A152" s="17" t="s">
        <v>309</v>
      </c>
      <c r="B152" s="11" t="s">
        <v>310</v>
      </c>
      <c r="C152" s="12">
        <f t="shared" si="195"/>
        <v>42</v>
      </c>
      <c r="D152" s="41" t="str">
        <f t="shared" si="196"/>
        <v>un</v>
      </c>
      <c r="E152" s="41">
        <f>ROUND((X152*(1-$M$5))*(1+BDI!$C$21),2)</f>
        <v>0.86</v>
      </c>
      <c r="F152" s="41">
        <f>ROUND((Y152*(1-$N$5))*(1+BDI!$C$21),2)</f>
        <v>67.39</v>
      </c>
      <c r="G152" s="41">
        <f t="shared" si="115"/>
        <v>68.25</v>
      </c>
      <c r="H152" s="13">
        <f t="shared" si="197"/>
        <v>36.119999999999997</v>
      </c>
      <c r="I152" s="13">
        <f t="shared" si="198"/>
        <v>2830.38</v>
      </c>
      <c r="J152" s="14">
        <f t="shared" si="118"/>
        <v>2866.5</v>
      </c>
      <c r="M152" s="54"/>
      <c r="N152" s="56"/>
      <c r="V152" s="74">
        <v>42</v>
      </c>
      <c r="W152" s="74" t="s">
        <v>109</v>
      </c>
      <c r="X152" s="13">
        <v>1.08</v>
      </c>
      <c r="Y152" s="13">
        <v>84.18</v>
      </c>
      <c r="Z152" s="13">
        <f t="shared" si="199"/>
        <v>85.26</v>
      </c>
      <c r="AB152" s="74">
        <v>42</v>
      </c>
      <c r="AC152" s="74" t="s">
        <v>109</v>
      </c>
      <c r="AD152" s="13">
        <v>1.39</v>
      </c>
      <c r="AE152" s="13">
        <v>108.44</v>
      </c>
      <c r="AF152" s="13">
        <f t="shared" si="200"/>
        <v>109.83</v>
      </c>
      <c r="AH152" s="89">
        <f t="shared" si="201"/>
        <v>-0.38129496402877694</v>
      </c>
      <c r="AI152" s="89">
        <f t="shared" si="202"/>
        <v>-0.37855035042419771</v>
      </c>
      <c r="AJ152" s="89">
        <f t="shared" si="203"/>
        <v>-0.37858508604206498</v>
      </c>
    </row>
    <row r="153" spans="1:36" x14ac:dyDescent="0.3">
      <c r="A153" s="17" t="s">
        <v>311</v>
      </c>
      <c r="B153" s="11" t="s">
        <v>312</v>
      </c>
      <c r="C153" s="12">
        <f t="shared" si="195"/>
        <v>1209</v>
      </c>
      <c r="D153" s="41" t="str">
        <f t="shared" si="196"/>
        <v>un</v>
      </c>
      <c r="E153" s="41">
        <f>ROUND((X153*(1-$M$5))*(1+BDI!$C$21),2)</f>
        <v>1.65</v>
      </c>
      <c r="F153" s="41">
        <f>ROUND((Y153*(1-$N$5))*(1+BDI!$C$21),2)</f>
        <v>8.73</v>
      </c>
      <c r="G153" s="41">
        <f t="shared" si="115"/>
        <v>10.38</v>
      </c>
      <c r="H153" s="13">
        <f t="shared" si="197"/>
        <v>1994.85</v>
      </c>
      <c r="I153" s="13">
        <f t="shared" si="198"/>
        <v>10554.57</v>
      </c>
      <c r="J153" s="14">
        <f t="shared" si="118"/>
        <v>12549.42</v>
      </c>
      <c r="M153" s="54"/>
      <c r="N153" s="56"/>
      <c r="V153" s="74">
        <v>1209</v>
      </c>
      <c r="W153" s="74" t="s">
        <v>109</v>
      </c>
      <c r="X153" s="13">
        <v>2.06</v>
      </c>
      <c r="Y153" s="13">
        <v>10.91</v>
      </c>
      <c r="Z153" s="13">
        <f t="shared" si="199"/>
        <v>12.97</v>
      </c>
      <c r="AB153" s="74">
        <v>1209</v>
      </c>
      <c r="AC153" s="74" t="s">
        <v>109</v>
      </c>
      <c r="AD153" s="13">
        <v>2.65</v>
      </c>
      <c r="AE153" s="13">
        <v>14.05</v>
      </c>
      <c r="AF153" s="13">
        <f t="shared" si="200"/>
        <v>16.7</v>
      </c>
      <c r="AH153" s="89">
        <f t="shared" si="201"/>
        <v>-0.37735849056603776</v>
      </c>
      <c r="AI153" s="89">
        <f t="shared" si="202"/>
        <v>-0.37864768683274019</v>
      </c>
      <c r="AJ153" s="89">
        <f t="shared" si="203"/>
        <v>-0.37844311377245499</v>
      </c>
    </row>
    <row r="154" spans="1:36" x14ac:dyDescent="0.3">
      <c r="A154" s="17" t="s">
        <v>313</v>
      </c>
      <c r="B154" s="11" t="s">
        <v>314</v>
      </c>
      <c r="C154" s="12">
        <f t="shared" si="195"/>
        <v>18</v>
      </c>
      <c r="D154" s="41" t="str">
        <f t="shared" si="196"/>
        <v>m²</v>
      </c>
      <c r="E154" s="41">
        <f>ROUND((X154*(1-$M$5))*(1+BDI!$C$21),2)</f>
        <v>264.81</v>
      </c>
      <c r="F154" s="41">
        <f>ROUND((Y154*(1-$N$5))*(1+BDI!$C$21),2)</f>
        <v>232.66</v>
      </c>
      <c r="G154" s="41">
        <f t="shared" si="115"/>
        <v>497.47</v>
      </c>
      <c r="H154" s="13">
        <f t="shared" si="197"/>
        <v>4766.58</v>
      </c>
      <c r="I154" s="13">
        <f t="shared" si="198"/>
        <v>4187.88</v>
      </c>
      <c r="J154" s="14">
        <f t="shared" si="118"/>
        <v>8954.4600000000009</v>
      </c>
      <c r="M154" s="54"/>
      <c r="N154" s="56"/>
      <c r="V154" s="74">
        <v>18</v>
      </c>
      <c r="W154" s="74" t="s">
        <v>59</v>
      </c>
      <c r="X154" s="13">
        <v>330.81</v>
      </c>
      <c r="Y154" s="13">
        <v>290.64999999999998</v>
      </c>
      <c r="Z154" s="13">
        <f t="shared" si="199"/>
        <v>621.46</v>
      </c>
      <c r="AB154" s="74">
        <v>18</v>
      </c>
      <c r="AC154" s="74" t="s">
        <v>59</v>
      </c>
      <c r="AD154" s="13">
        <v>426.15</v>
      </c>
      <c r="AE154" s="13">
        <v>374.42</v>
      </c>
      <c r="AF154" s="13">
        <f t="shared" si="200"/>
        <v>800.56999999999994</v>
      </c>
      <c r="AH154" s="89">
        <f t="shared" si="201"/>
        <v>-0.37859908482928539</v>
      </c>
      <c r="AI154" s="89">
        <f t="shared" si="202"/>
        <v>-0.37861225361893069</v>
      </c>
      <c r="AJ154" s="89">
        <f t="shared" si="203"/>
        <v>-0.37860524376381821</v>
      </c>
    </row>
    <row r="155" spans="1:36" x14ac:dyDescent="0.3">
      <c r="A155" s="17" t="s">
        <v>315</v>
      </c>
      <c r="B155" s="11" t="s">
        <v>316</v>
      </c>
      <c r="C155" s="12">
        <f t="shared" si="195"/>
        <v>159</v>
      </c>
      <c r="D155" s="41" t="str">
        <f t="shared" si="196"/>
        <v>un</v>
      </c>
      <c r="E155" s="41">
        <f>ROUND((X155*(1-$M$5))*(1+BDI!$C$21),2)</f>
        <v>10.97</v>
      </c>
      <c r="F155" s="41">
        <f>ROUND((Y155*(1-$N$5))*(1+BDI!$C$21),2)</f>
        <v>69.8</v>
      </c>
      <c r="G155" s="41">
        <f t="shared" si="115"/>
        <v>80.77</v>
      </c>
      <c r="H155" s="13">
        <f t="shared" si="197"/>
        <v>1744.23</v>
      </c>
      <c r="I155" s="13">
        <f t="shared" si="198"/>
        <v>11098.199999999999</v>
      </c>
      <c r="J155" s="14">
        <f t="shared" si="118"/>
        <v>12842.429999999998</v>
      </c>
      <c r="M155" s="54"/>
      <c r="N155" s="56"/>
      <c r="V155" s="74">
        <v>159</v>
      </c>
      <c r="W155" s="74" t="s">
        <v>109</v>
      </c>
      <c r="X155" s="13">
        <v>13.7</v>
      </c>
      <c r="Y155" s="13">
        <v>87.2</v>
      </c>
      <c r="Z155" s="13">
        <f t="shared" si="199"/>
        <v>100.9</v>
      </c>
      <c r="AB155" s="74">
        <v>159</v>
      </c>
      <c r="AC155" s="74" t="s">
        <v>109</v>
      </c>
      <c r="AD155" s="13">
        <v>17.649999999999999</v>
      </c>
      <c r="AE155" s="13">
        <v>112.33</v>
      </c>
      <c r="AF155" s="13">
        <f t="shared" si="200"/>
        <v>129.97999999999999</v>
      </c>
      <c r="AH155" s="89">
        <f t="shared" si="201"/>
        <v>-0.37847025495750697</v>
      </c>
      <c r="AI155" s="89">
        <f t="shared" si="202"/>
        <v>-0.37861657615952993</v>
      </c>
      <c r="AJ155" s="89">
        <f t="shared" si="203"/>
        <v>-0.37859670718572092</v>
      </c>
    </row>
    <row r="156" spans="1:36" x14ac:dyDescent="0.3">
      <c r="A156" s="17" t="s">
        <v>317</v>
      </c>
      <c r="B156" s="11" t="s">
        <v>318</v>
      </c>
      <c r="C156" s="12">
        <f t="shared" si="195"/>
        <v>17</v>
      </c>
      <c r="D156" s="41" t="str">
        <f t="shared" si="196"/>
        <v>un</v>
      </c>
      <c r="E156" s="41">
        <f>ROUND((X156*(1-$M$5))*(1+BDI!$C$21),2)</f>
        <v>1.57</v>
      </c>
      <c r="F156" s="41">
        <f>ROUND((Y156*(1-$N$5))*(1+BDI!$C$21),2)</f>
        <v>20.97</v>
      </c>
      <c r="G156" s="41">
        <f t="shared" si="115"/>
        <v>22.54</v>
      </c>
      <c r="H156" s="13">
        <f t="shared" si="197"/>
        <v>26.69</v>
      </c>
      <c r="I156" s="13">
        <f t="shared" si="198"/>
        <v>356.49</v>
      </c>
      <c r="J156" s="14">
        <f t="shared" si="118"/>
        <v>383.18</v>
      </c>
      <c r="M156" s="54"/>
      <c r="N156" s="56"/>
      <c r="V156" s="74">
        <v>17</v>
      </c>
      <c r="W156" s="74" t="s">
        <v>109</v>
      </c>
      <c r="X156" s="13">
        <v>1.96</v>
      </c>
      <c r="Y156" s="13">
        <v>26.2</v>
      </c>
      <c r="Z156" s="13">
        <f t="shared" si="199"/>
        <v>28.16</v>
      </c>
      <c r="AB156" s="74">
        <v>17</v>
      </c>
      <c r="AC156" s="74" t="s">
        <v>109</v>
      </c>
      <c r="AD156" s="13">
        <v>2.52</v>
      </c>
      <c r="AE156" s="13">
        <v>33.75</v>
      </c>
      <c r="AF156" s="13">
        <f t="shared" si="200"/>
        <v>36.270000000000003</v>
      </c>
      <c r="AH156" s="89">
        <f t="shared" si="201"/>
        <v>-0.37698412698412698</v>
      </c>
      <c r="AI156" s="89">
        <f t="shared" si="202"/>
        <v>-0.37866666666666671</v>
      </c>
      <c r="AJ156" s="89">
        <f t="shared" si="203"/>
        <v>-0.37854976564653997</v>
      </c>
    </row>
    <row r="157" spans="1:36" x14ac:dyDescent="0.3">
      <c r="A157" s="17" t="s">
        <v>319</v>
      </c>
      <c r="B157" s="11" t="s">
        <v>320</v>
      </c>
      <c r="C157" s="12">
        <f t="shared" si="195"/>
        <v>10</v>
      </c>
      <c r="D157" s="41" t="str">
        <f t="shared" si="196"/>
        <v>m²</v>
      </c>
      <c r="E157" s="41">
        <f>ROUND((X157*(1-$M$5))*(1+BDI!$C$21),2)</f>
        <v>196.86</v>
      </c>
      <c r="F157" s="41">
        <f>ROUND((Y157*(1-$N$5))*(1+BDI!$C$21),2)</f>
        <v>23.27</v>
      </c>
      <c r="G157" s="41">
        <f t="shared" si="115"/>
        <v>220.13000000000002</v>
      </c>
      <c r="H157" s="13">
        <f t="shared" si="197"/>
        <v>1968.6000000000001</v>
      </c>
      <c r="I157" s="13">
        <f t="shared" si="198"/>
        <v>232.7</v>
      </c>
      <c r="J157" s="14">
        <f t="shared" si="118"/>
        <v>2201.3000000000002</v>
      </c>
      <c r="M157" s="54"/>
      <c r="N157" s="56"/>
      <c r="V157" s="74">
        <v>10</v>
      </c>
      <c r="W157" s="74" t="s">
        <v>59</v>
      </c>
      <c r="X157" s="13">
        <v>245.93</v>
      </c>
      <c r="Y157" s="13">
        <v>29.07</v>
      </c>
      <c r="Z157" s="13">
        <f t="shared" si="199"/>
        <v>275</v>
      </c>
      <c r="AB157" s="74">
        <v>10</v>
      </c>
      <c r="AC157" s="74" t="s">
        <v>59</v>
      </c>
      <c r="AD157" s="13">
        <v>316.81</v>
      </c>
      <c r="AE157" s="13">
        <v>37.450000000000003</v>
      </c>
      <c r="AF157" s="13">
        <f t="shared" si="200"/>
        <v>354.26</v>
      </c>
      <c r="AH157" s="89">
        <f t="shared" si="201"/>
        <v>-0.37861809917616229</v>
      </c>
      <c r="AI157" s="89">
        <f t="shared" si="202"/>
        <v>-0.37863818424566098</v>
      </c>
      <c r="AJ157" s="89">
        <f t="shared" si="203"/>
        <v>-0.37862022243549931</v>
      </c>
    </row>
    <row r="158" spans="1:36" x14ac:dyDescent="0.3">
      <c r="A158" s="17" t="s">
        <v>321</v>
      </c>
      <c r="B158" s="11" t="s">
        <v>322</v>
      </c>
      <c r="C158" s="12">
        <f t="shared" si="195"/>
        <v>8</v>
      </c>
      <c r="D158" s="41" t="str">
        <f t="shared" si="196"/>
        <v>un</v>
      </c>
      <c r="E158" s="41">
        <f>ROUND((X158*(1-$M$5))*(1+BDI!$C$21),2)</f>
        <v>133.75</v>
      </c>
      <c r="F158" s="41">
        <f>ROUND((Y158*(1-$N$5))*(1+BDI!$C$21),2)</f>
        <v>4.1900000000000004</v>
      </c>
      <c r="G158" s="41">
        <f t="shared" si="115"/>
        <v>137.94</v>
      </c>
      <c r="H158" s="13">
        <f t="shared" si="197"/>
        <v>1070</v>
      </c>
      <c r="I158" s="13">
        <f t="shared" si="198"/>
        <v>33.520000000000003</v>
      </c>
      <c r="J158" s="14">
        <f t="shared" si="118"/>
        <v>1103.52</v>
      </c>
      <c r="M158" s="54"/>
      <c r="N158" s="56"/>
      <c r="V158" s="74">
        <v>8</v>
      </c>
      <c r="W158" s="74" t="s">
        <v>109</v>
      </c>
      <c r="X158" s="13">
        <v>167.08</v>
      </c>
      <c r="Y158" s="13">
        <v>5.24</v>
      </c>
      <c r="Z158" s="13">
        <f t="shared" si="199"/>
        <v>172.32000000000002</v>
      </c>
      <c r="AB158" s="74">
        <v>8</v>
      </c>
      <c r="AC158" s="74" t="s">
        <v>109</v>
      </c>
      <c r="AD158" s="13">
        <v>215.23</v>
      </c>
      <c r="AE158" s="13">
        <v>6.75</v>
      </c>
      <c r="AF158" s="13">
        <f t="shared" si="200"/>
        <v>221.98</v>
      </c>
      <c r="AH158" s="89">
        <f t="shared" si="201"/>
        <v>-0.37857176044231744</v>
      </c>
      <c r="AI158" s="89">
        <f t="shared" si="202"/>
        <v>-0.37925925925925918</v>
      </c>
      <c r="AJ158" s="89">
        <f t="shared" si="203"/>
        <v>-0.37859266600594643</v>
      </c>
    </row>
    <row r="159" spans="1:36" x14ac:dyDescent="0.3">
      <c r="A159" s="17" t="s">
        <v>323</v>
      </c>
      <c r="B159" s="11" t="s">
        <v>324</v>
      </c>
      <c r="C159" s="12">
        <f t="shared" ref="C159:C161" si="204">V159</f>
        <v>33</v>
      </c>
      <c r="D159" s="41" t="str">
        <f t="shared" ref="D159:D161" si="205">W159</f>
        <v>m²</v>
      </c>
      <c r="E159" s="41">
        <f>ROUND((X159*(1-$M$5))*(1+BDI!$C$21),2)</f>
        <v>177.65</v>
      </c>
      <c r="F159" s="41">
        <f>ROUND((Y159*(1-$N$5))*(1+BDI!$C$21),2)</f>
        <v>116.33</v>
      </c>
      <c r="G159" s="41">
        <f t="shared" ref="G159:G161" si="206">F159+E159</f>
        <v>293.98</v>
      </c>
      <c r="H159" s="13">
        <f t="shared" ref="H159:H161" si="207">C159*E159</f>
        <v>5862.45</v>
      </c>
      <c r="I159" s="13">
        <f t="shared" ref="I159:I161" si="208">C159*F159</f>
        <v>3838.89</v>
      </c>
      <c r="J159" s="14">
        <f t="shared" ref="J159:J161" si="209">SUM(E159:F159)*C159</f>
        <v>9701.34</v>
      </c>
      <c r="M159" s="54"/>
      <c r="N159" s="56"/>
      <c r="V159" s="74">
        <v>33</v>
      </c>
      <c r="W159" s="74" t="s">
        <v>59</v>
      </c>
      <c r="X159" s="13">
        <v>221.93</v>
      </c>
      <c r="Y159" s="13">
        <v>145.33000000000001</v>
      </c>
      <c r="Z159" s="13">
        <f t="shared" ref="Z159:Z160" si="210">SUM(X159:Y159)</f>
        <v>367.26</v>
      </c>
      <c r="AB159" s="74">
        <v>33</v>
      </c>
      <c r="AC159" s="74" t="s">
        <v>59</v>
      </c>
      <c r="AD159" s="13">
        <v>285.89</v>
      </c>
      <c r="AE159" s="13">
        <v>187.21</v>
      </c>
      <c r="AF159" s="13">
        <f t="shared" ref="AF159:AF160" si="211">SUM(AD159:AE159)</f>
        <v>473.1</v>
      </c>
      <c r="AH159" s="89">
        <f t="shared" si="201"/>
        <v>-0.37860715659869171</v>
      </c>
      <c r="AI159" s="89">
        <f t="shared" si="202"/>
        <v>-0.37861225361893069</v>
      </c>
      <c r="AJ159" s="89">
        <f t="shared" si="203"/>
        <v>-0.37860917353625023</v>
      </c>
    </row>
    <row r="160" spans="1:36" x14ac:dyDescent="0.3">
      <c r="A160" s="17" t="s">
        <v>325</v>
      </c>
      <c r="B160" s="11" t="s">
        <v>326</v>
      </c>
      <c r="C160" s="12">
        <f t="shared" si="204"/>
        <v>1</v>
      </c>
      <c r="D160" s="41" t="str">
        <f t="shared" si="205"/>
        <v>m²</v>
      </c>
      <c r="E160" s="41">
        <f>ROUND((X160*(1-$M$5))*(1+BDI!$C$21),2)</f>
        <v>281.83999999999997</v>
      </c>
      <c r="F160" s="41">
        <f>ROUND((Y160*(1-$N$5))*(1+BDI!$C$21),2)</f>
        <v>130.57</v>
      </c>
      <c r="G160" s="41">
        <f t="shared" si="206"/>
        <v>412.40999999999997</v>
      </c>
      <c r="H160" s="13">
        <f t="shared" si="207"/>
        <v>281.83999999999997</v>
      </c>
      <c r="I160" s="13">
        <f t="shared" si="208"/>
        <v>130.57</v>
      </c>
      <c r="J160" s="14">
        <f t="shared" si="209"/>
        <v>412.40999999999997</v>
      </c>
      <c r="M160" s="54"/>
      <c r="N160" s="56"/>
      <c r="V160" s="74">
        <v>1</v>
      </c>
      <c r="W160" s="74" t="s">
        <v>59</v>
      </c>
      <c r="X160" s="13">
        <v>352.09</v>
      </c>
      <c r="Y160" s="13">
        <v>163.11000000000001</v>
      </c>
      <c r="Z160" s="13">
        <f t="shared" si="210"/>
        <v>515.20000000000005</v>
      </c>
      <c r="AB160" s="74">
        <v>1</v>
      </c>
      <c r="AC160" s="74" t="s">
        <v>59</v>
      </c>
      <c r="AD160" s="13">
        <v>453.56</v>
      </c>
      <c r="AE160" s="13">
        <v>210.12</v>
      </c>
      <c r="AF160" s="13">
        <f t="shared" si="211"/>
        <v>663.68000000000006</v>
      </c>
      <c r="AH160" s="89">
        <f t="shared" si="201"/>
        <v>-0.37860481523943912</v>
      </c>
      <c r="AI160" s="89">
        <f t="shared" si="202"/>
        <v>-0.3785931848467543</v>
      </c>
      <c r="AJ160" s="89">
        <f t="shared" si="203"/>
        <v>-0.37860113307618137</v>
      </c>
    </row>
    <row r="161" spans="1:36" x14ac:dyDescent="0.3">
      <c r="A161" s="17" t="s">
        <v>327</v>
      </c>
      <c r="B161" s="11" t="s">
        <v>328</v>
      </c>
      <c r="C161" s="12">
        <f t="shared" si="204"/>
        <v>1</v>
      </c>
      <c r="D161" s="41" t="str">
        <f t="shared" si="205"/>
        <v xml:space="preserve">un </v>
      </c>
      <c r="E161" s="41">
        <f>ROUND((X161*(1-$M$5))*(1+BDI!$C$21),2)</f>
        <v>4.42</v>
      </c>
      <c r="F161" s="41">
        <f>ROUND((Y161*(1-$N$5))*(1+BDI!$C$21),2)</f>
        <v>57.8</v>
      </c>
      <c r="G161" s="41">
        <f t="shared" si="206"/>
        <v>62.22</v>
      </c>
      <c r="H161" s="13">
        <f t="shared" si="207"/>
        <v>4.42</v>
      </c>
      <c r="I161" s="13">
        <f t="shared" si="208"/>
        <v>57.8</v>
      </c>
      <c r="J161" s="14">
        <f t="shared" si="209"/>
        <v>62.22</v>
      </c>
      <c r="M161" s="54"/>
      <c r="N161" s="56"/>
      <c r="V161" s="74">
        <v>1</v>
      </c>
      <c r="W161" s="74" t="s">
        <v>30</v>
      </c>
      <c r="X161" s="13">
        <v>5.52</v>
      </c>
      <c r="Y161" s="13">
        <v>72.2</v>
      </c>
      <c r="Z161" s="13">
        <f t="shared" ref="Z161" si="212">SUM(X161:Y161)</f>
        <v>77.72</v>
      </c>
      <c r="AB161" s="74">
        <v>1</v>
      </c>
      <c r="AC161" s="74" t="s">
        <v>30</v>
      </c>
      <c r="AD161" s="13">
        <v>7.11</v>
      </c>
      <c r="AE161" s="13">
        <v>93.01</v>
      </c>
      <c r="AF161" s="13">
        <f t="shared" ref="AF161" si="213">SUM(AD161:AE161)</f>
        <v>100.12</v>
      </c>
      <c r="AH161" s="89">
        <f t="shared" ref="AH161" si="214">IF(E161=0,0,(E161/AD161)-1)</f>
        <v>-0.37834036568213791</v>
      </c>
      <c r="AI161" s="89">
        <f t="shared" ref="AI161" si="215">IF(F161=0,0,(F161/AE161)-1)</f>
        <v>-0.37856144500591338</v>
      </c>
      <c r="AJ161" s="89">
        <f t="shared" ref="AJ161" si="216">IF(G161=0,0,(G161/AF161)-1)</f>
        <v>-0.37854574510587302</v>
      </c>
    </row>
    <row r="162" spans="1:36" x14ac:dyDescent="0.3">
      <c r="A162" s="17" t="s">
        <v>329</v>
      </c>
      <c r="B162" s="11" t="s">
        <v>330</v>
      </c>
      <c r="C162" s="12">
        <f t="shared" si="195"/>
        <v>1</v>
      </c>
      <c r="D162" s="41" t="str">
        <f t="shared" si="196"/>
        <v xml:space="preserve">un </v>
      </c>
      <c r="E162" s="41">
        <f>ROUND((X162*(1-$M$5))*(1+BDI!$C$21),2)</f>
        <v>8.3800000000000008</v>
      </c>
      <c r="F162" s="41">
        <f>ROUND((Y162*(1-$N$5))*(1+BDI!$C$21),2)</f>
        <v>12.96</v>
      </c>
      <c r="G162" s="41">
        <f t="shared" si="115"/>
        <v>21.340000000000003</v>
      </c>
      <c r="H162" s="13">
        <f t="shared" si="197"/>
        <v>8.3800000000000008</v>
      </c>
      <c r="I162" s="13">
        <f t="shared" si="198"/>
        <v>12.96</v>
      </c>
      <c r="J162" s="14">
        <f t="shared" si="118"/>
        <v>21.340000000000003</v>
      </c>
      <c r="M162" s="54"/>
      <c r="N162" s="56"/>
      <c r="V162" s="74">
        <v>1</v>
      </c>
      <c r="W162" s="74" t="s">
        <v>30</v>
      </c>
      <c r="X162" s="13">
        <v>10.47</v>
      </c>
      <c r="Y162" s="13">
        <v>16.190000000000001</v>
      </c>
      <c r="Z162" s="13">
        <f t="shared" si="199"/>
        <v>26.660000000000004</v>
      </c>
      <c r="AB162" s="74">
        <v>1</v>
      </c>
      <c r="AC162" s="74" t="s">
        <v>30</v>
      </c>
      <c r="AD162" s="13">
        <v>13.49</v>
      </c>
      <c r="AE162" s="13">
        <v>20.86</v>
      </c>
      <c r="AF162" s="13">
        <f t="shared" ref="AF162:AF163" si="217">SUM(AD162:AE162)</f>
        <v>34.35</v>
      </c>
      <c r="AH162" s="89">
        <f t="shared" si="201"/>
        <v>-0.37879911045218673</v>
      </c>
      <c r="AI162" s="89">
        <f t="shared" si="202"/>
        <v>-0.37871524448705651</v>
      </c>
      <c r="AJ162" s="89">
        <f t="shared" si="203"/>
        <v>-0.37874818049490533</v>
      </c>
    </row>
    <row r="163" spans="1:36" x14ac:dyDescent="0.3">
      <c r="A163" s="17" t="s">
        <v>331</v>
      </c>
      <c r="B163" s="11" t="s">
        <v>332</v>
      </c>
      <c r="C163" s="12">
        <f t="shared" si="195"/>
        <v>1</v>
      </c>
      <c r="D163" s="41" t="str">
        <f t="shared" si="196"/>
        <v>un</v>
      </c>
      <c r="E163" s="41">
        <f>ROUND((X163*(1-$M$5))*(1+BDI!$C$21),2)</f>
        <v>0</v>
      </c>
      <c r="F163" s="41">
        <f>ROUND((Y163*(1-$N$5))*(1+BDI!$C$21),2)</f>
        <v>69.8</v>
      </c>
      <c r="G163" s="41">
        <f t="shared" si="115"/>
        <v>69.8</v>
      </c>
      <c r="H163" s="13">
        <f t="shared" si="197"/>
        <v>0</v>
      </c>
      <c r="I163" s="13">
        <f t="shared" si="198"/>
        <v>69.8</v>
      </c>
      <c r="J163" s="14">
        <f t="shared" si="118"/>
        <v>69.8</v>
      </c>
      <c r="M163" s="54"/>
      <c r="N163" s="56"/>
      <c r="V163" s="74">
        <v>1</v>
      </c>
      <c r="W163" s="74" t="s">
        <v>109</v>
      </c>
      <c r="X163" s="13">
        <v>0</v>
      </c>
      <c r="Y163" s="13">
        <v>87.2</v>
      </c>
      <c r="Z163" s="13">
        <f t="shared" si="199"/>
        <v>87.2</v>
      </c>
      <c r="AB163" s="74">
        <v>1</v>
      </c>
      <c r="AC163" s="74" t="s">
        <v>109</v>
      </c>
      <c r="AD163" s="13">
        <v>0</v>
      </c>
      <c r="AE163" s="13">
        <v>112.33</v>
      </c>
      <c r="AF163" s="13">
        <f t="shared" si="217"/>
        <v>112.33</v>
      </c>
      <c r="AH163" s="89">
        <f t="shared" si="201"/>
        <v>0</v>
      </c>
      <c r="AI163" s="89">
        <f t="shared" si="202"/>
        <v>-0.37861657615952993</v>
      </c>
      <c r="AJ163" s="89">
        <f t="shared" si="203"/>
        <v>-0.37861657615952993</v>
      </c>
    </row>
    <row r="164" spans="1:36" x14ac:dyDescent="0.3">
      <c r="A164" s="15">
        <v>14</v>
      </c>
      <c r="B164" s="16" t="s">
        <v>333</v>
      </c>
      <c r="C164" s="76"/>
      <c r="D164" s="58"/>
      <c r="E164" s="58"/>
      <c r="F164" s="58"/>
      <c r="G164" s="58"/>
      <c r="H164" s="24">
        <f t="shared" ref="H164:I164" si="218">SUM(H165:H194)</f>
        <v>206611.74000000005</v>
      </c>
      <c r="I164" s="24">
        <f t="shared" si="218"/>
        <v>79959.699999999968</v>
      </c>
      <c r="J164" s="24">
        <f>SUM(J165:J194)</f>
        <v>286571.44000000006</v>
      </c>
      <c r="M164" s="54"/>
      <c r="N164" s="56"/>
      <c r="V164" s="75"/>
      <c r="W164" s="75"/>
      <c r="X164" s="23"/>
      <c r="Y164" s="23"/>
      <c r="Z164" s="23"/>
      <c r="AB164" s="75"/>
      <c r="AC164" s="75"/>
      <c r="AD164" s="23"/>
      <c r="AE164" s="23"/>
      <c r="AF164" s="23"/>
      <c r="AH164" s="89">
        <f t="shared" si="201"/>
        <v>0</v>
      </c>
      <c r="AI164" s="89">
        <f t="shared" si="202"/>
        <v>0</v>
      </c>
      <c r="AJ164" s="89">
        <f t="shared" si="203"/>
        <v>0</v>
      </c>
    </row>
    <row r="165" spans="1:36" x14ac:dyDescent="0.3">
      <c r="A165" s="17" t="s">
        <v>334</v>
      </c>
      <c r="B165" s="11" t="s">
        <v>335</v>
      </c>
      <c r="C165" s="12">
        <f t="shared" ref="C165:C194" si="219">V165</f>
        <v>7</v>
      </c>
      <c r="D165" s="41" t="str">
        <f t="shared" ref="D165:D194" si="220">W165</f>
        <v>m²</v>
      </c>
      <c r="E165" s="41">
        <f>ROUND((X165*(1-$M$5))*(1+BDI!$C$21),2)</f>
        <v>315.16000000000003</v>
      </c>
      <c r="F165" s="41">
        <f>ROUND((Y165*(1-$N$5))*(1+BDI!$C$21),2)</f>
        <v>159.16</v>
      </c>
      <c r="G165" s="41">
        <f t="shared" si="115"/>
        <v>474.32000000000005</v>
      </c>
      <c r="H165" s="13">
        <f t="shared" ref="H165:H194" si="221">C165*E165</f>
        <v>2206.1200000000003</v>
      </c>
      <c r="I165" s="13">
        <f t="shared" ref="I165:I194" si="222">C165*F165</f>
        <v>1114.1199999999999</v>
      </c>
      <c r="J165" s="14">
        <f t="shared" si="118"/>
        <v>3320.2400000000002</v>
      </c>
      <c r="M165" s="54"/>
      <c r="N165" s="56"/>
      <c r="V165" s="74">
        <v>7</v>
      </c>
      <c r="W165" s="74" t="s">
        <v>59</v>
      </c>
      <c r="X165" s="13">
        <v>393.71</v>
      </c>
      <c r="Y165" s="13">
        <v>198.83</v>
      </c>
      <c r="Z165" s="13">
        <f t="shared" ref="Z165:Z194" si="223">SUM(X165:Y165)</f>
        <v>592.54</v>
      </c>
      <c r="AB165" s="74">
        <v>7</v>
      </c>
      <c r="AC165" s="74" t="s">
        <v>59</v>
      </c>
      <c r="AD165" s="13">
        <v>507.18</v>
      </c>
      <c r="AE165" s="13">
        <v>256.13</v>
      </c>
      <c r="AF165" s="13">
        <f t="shared" ref="AF165:AF176" si="224">SUM(AD165:AE165)</f>
        <v>763.31</v>
      </c>
      <c r="AH165" s="89">
        <f t="shared" si="201"/>
        <v>-0.37860325722623123</v>
      </c>
      <c r="AI165" s="89">
        <f t="shared" si="202"/>
        <v>-0.37859680630929604</v>
      </c>
      <c r="AJ165" s="89">
        <f t="shared" si="203"/>
        <v>-0.37860109260981767</v>
      </c>
    </row>
    <row r="166" spans="1:36" x14ac:dyDescent="0.3">
      <c r="A166" s="17" t="s">
        <v>336</v>
      </c>
      <c r="B166" s="11" t="s">
        <v>337</v>
      </c>
      <c r="C166" s="12">
        <f t="shared" si="219"/>
        <v>3</v>
      </c>
      <c r="D166" s="41" t="str">
        <f t="shared" si="220"/>
        <v>m²</v>
      </c>
      <c r="E166" s="41">
        <f>ROUND((X166*(1-$M$5))*(1+BDI!$C$21),2)</f>
        <v>434.28</v>
      </c>
      <c r="F166" s="41">
        <f>ROUND((Y166*(1-$N$5))*(1+BDI!$C$21),2)</f>
        <v>58.95</v>
      </c>
      <c r="G166" s="41">
        <f t="shared" si="115"/>
        <v>493.22999999999996</v>
      </c>
      <c r="H166" s="13">
        <f t="shared" si="221"/>
        <v>1302.8399999999999</v>
      </c>
      <c r="I166" s="13">
        <f t="shared" si="222"/>
        <v>176.85000000000002</v>
      </c>
      <c r="J166" s="14">
        <f t="shared" si="118"/>
        <v>1479.6899999999998</v>
      </c>
      <c r="M166" s="54"/>
      <c r="N166" s="56"/>
      <c r="V166" s="74">
        <v>3</v>
      </c>
      <c r="W166" s="74" t="s">
        <v>59</v>
      </c>
      <c r="X166" s="13">
        <v>542.52</v>
      </c>
      <c r="Y166" s="13">
        <v>73.64</v>
      </c>
      <c r="Z166" s="13">
        <f t="shared" si="223"/>
        <v>616.16</v>
      </c>
      <c r="AB166" s="74">
        <v>3</v>
      </c>
      <c r="AC166" s="74" t="s">
        <v>59</v>
      </c>
      <c r="AD166" s="13">
        <v>698.87</v>
      </c>
      <c r="AE166" s="13">
        <v>94.86</v>
      </c>
      <c r="AF166" s="13">
        <f t="shared" si="224"/>
        <v>793.73</v>
      </c>
      <c r="AH166" s="89">
        <f t="shared" si="201"/>
        <v>-0.37859687781704754</v>
      </c>
      <c r="AI166" s="89">
        <f t="shared" si="202"/>
        <v>-0.37855787476280833</v>
      </c>
      <c r="AJ166" s="89">
        <f t="shared" si="203"/>
        <v>-0.37859221649679364</v>
      </c>
    </row>
    <row r="167" spans="1:36" x14ac:dyDescent="0.3">
      <c r="A167" s="17" t="s">
        <v>338</v>
      </c>
      <c r="B167" s="11" t="s">
        <v>339</v>
      </c>
      <c r="C167" s="12">
        <f t="shared" si="219"/>
        <v>90</v>
      </c>
      <c r="D167" s="41" t="str">
        <f t="shared" si="220"/>
        <v>m</v>
      </c>
      <c r="E167" s="41">
        <f>ROUND((X167*(1-$M$5))*(1+BDI!$C$21),2)</f>
        <v>2.78</v>
      </c>
      <c r="F167" s="41">
        <f>ROUND((Y167*(1-$N$5))*(1+BDI!$C$21),2)</f>
        <v>22.71</v>
      </c>
      <c r="G167" s="41">
        <f t="shared" si="115"/>
        <v>25.490000000000002</v>
      </c>
      <c r="H167" s="13">
        <f t="shared" si="221"/>
        <v>250.2</v>
      </c>
      <c r="I167" s="13">
        <f t="shared" si="222"/>
        <v>2043.9</v>
      </c>
      <c r="J167" s="14">
        <f t="shared" si="118"/>
        <v>2294.1000000000004</v>
      </c>
      <c r="M167" s="54"/>
      <c r="N167" s="56"/>
      <c r="V167" s="74">
        <v>90</v>
      </c>
      <c r="W167" s="74" t="s">
        <v>75</v>
      </c>
      <c r="X167" s="13">
        <v>3.47</v>
      </c>
      <c r="Y167" s="13">
        <v>28.37</v>
      </c>
      <c r="Z167" s="13">
        <f t="shared" si="223"/>
        <v>31.84</v>
      </c>
      <c r="AB167" s="74">
        <v>90</v>
      </c>
      <c r="AC167" s="74" t="s">
        <v>75</v>
      </c>
      <c r="AD167" s="13">
        <v>4.47</v>
      </c>
      <c r="AE167" s="13">
        <v>36.549999999999997</v>
      </c>
      <c r="AF167" s="13">
        <f t="shared" si="224"/>
        <v>41.019999999999996</v>
      </c>
      <c r="AH167" s="89">
        <f t="shared" si="201"/>
        <v>-0.37807606263982108</v>
      </c>
      <c r="AI167" s="89">
        <f t="shared" si="202"/>
        <v>-0.37865937072503408</v>
      </c>
      <c r="AJ167" s="89">
        <f t="shared" si="203"/>
        <v>-0.37859580692345185</v>
      </c>
    </row>
    <row r="168" spans="1:36" ht="28.8" x14ac:dyDescent="0.3">
      <c r="A168" s="17" t="s">
        <v>340</v>
      </c>
      <c r="B168" s="11" t="s">
        <v>341</v>
      </c>
      <c r="C168" s="12">
        <f t="shared" si="219"/>
        <v>56</v>
      </c>
      <c r="D168" s="41" t="str">
        <f t="shared" si="220"/>
        <v>m</v>
      </c>
      <c r="E168" s="41">
        <f>ROUND((X168*(1-$M$5))*(1+BDI!$C$21),2)</f>
        <v>61.3</v>
      </c>
      <c r="F168" s="41">
        <f>ROUND((Y168*(1-$N$5))*(1+BDI!$C$21),2)</f>
        <v>78.180000000000007</v>
      </c>
      <c r="G168" s="41">
        <f t="shared" ref="G168:G258" si="225">F168+E168</f>
        <v>139.48000000000002</v>
      </c>
      <c r="H168" s="13">
        <f t="shared" si="221"/>
        <v>3432.7999999999997</v>
      </c>
      <c r="I168" s="13">
        <f t="shared" si="222"/>
        <v>4378.08</v>
      </c>
      <c r="J168" s="14">
        <f t="shared" ref="J168:J245" si="226">SUM(E168:F168)*C168</f>
        <v>7810.880000000001</v>
      </c>
      <c r="M168" s="54"/>
      <c r="N168" s="56"/>
      <c r="V168" s="74">
        <v>56</v>
      </c>
      <c r="W168" s="74" t="s">
        <v>75</v>
      </c>
      <c r="X168" s="13">
        <v>76.58</v>
      </c>
      <c r="Y168" s="13">
        <v>97.67</v>
      </c>
      <c r="Z168" s="13">
        <f t="shared" si="223"/>
        <v>174.25</v>
      </c>
      <c r="AB168" s="74">
        <v>56</v>
      </c>
      <c r="AC168" s="74" t="s">
        <v>75</v>
      </c>
      <c r="AD168" s="13">
        <v>98.65</v>
      </c>
      <c r="AE168" s="13">
        <v>125.82</v>
      </c>
      <c r="AF168" s="13">
        <f t="shared" si="224"/>
        <v>224.47</v>
      </c>
      <c r="AH168" s="89">
        <f t="shared" si="201"/>
        <v>-0.37861125190065892</v>
      </c>
      <c r="AI168" s="89">
        <f t="shared" si="202"/>
        <v>-0.37863614687649016</v>
      </c>
      <c r="AJ168" s="89">
        <f t="shared" si="203"/>
        <v>-0.37862520604089622</v>
      </c>
    </row>
    <row r="169" spans="1:36" x14ac:dyDescent="0.3">
      <c r="A169" s="17" t="s">
        <v>342</v>
      </c>
      <c r="B169" s="11" t="s">
        <v>343</v>
      </c>
      <c r="C169" s="12">
        <f t="shared" si="219"/>
        <v>21</v>
      </c>
      <c r="D169" s="41" t="str">
        <f t="shared" si="220"/>
        <v>m</v>
      </c>
      <c r="E169" s="41">
        <f>ROUND((X169*(1-$M$5))*(1+BDI!$C$21),2)</f>
        <v>194.74</v>
      </c>
      <c r="F169" s="41">
        <f>ROUND((Y169*(1-$N$5))*(1+BDI!$C$21),2)</f>
        <v>286.42</v>
      </c>
      <c r="G169" s="41">
        <f t="shared" si="225"/>
        <v>481.16</v>
      </c>
      <c r="H169" s="13">
        <f t="shared" si="221"/>
        <v>4089.54</v>
      </c>
      <c r="I169" s="13">
        <f t="shared" si="222"/>
        <v>6014.8200000000006</v>
      </c>
      <c r="J169" s="14">
        <f t="shared" si="226"/>
        <v>10104.36</v>
      </c>
      <c r="M169" s="54"/>
      <c r="N169" s="56"/>
      <c r="V169" s="74">
        <v>21</v>
      </c>
      <c r="W169" s="74" t="s">
        <v>75</v>
      </c>
      <c r="X169" s="13">
        <v>243.28</v>
      </c>
      <c r="Y169" s="13">
        <v>357.81</v>
      </c>
      <c r="Z169" s="13">
        <f t="shared" si="223"/>
        <v>601.09</v>
      </c>
      <c r="AB169" s="74">
        <v>21</v>
      </c>
      <c r="AC169" s="74" t="s">
        <v>75</v>
      </c>
      <c r="AD169" s="13">
        <v>313.39</v>
      </c>
      <c r="AE169" s="13">
        <v>460.93</v>
      </c>
      <c r="AF169" s="13">
        <f t="shared" si="224"/>
        <v>774.31999999999994</v>
      </c>
      <c r="AH169" s="89">
        <f t="shared" si="201"/>
        <v>-0.37860174223810583</v>
      </c>
      <c r="AI169" s="89">
        <f t="shared" si="202"/>
        <v>-0.37860412644002339</v>
      </c>
      <c r="AJ169" s="89">
        <f t="shared" si="203"/>
        <v>-0.37860316148362427</v>
      </c>
    </row>
    <row r="170" spans="1:36" x14ac:dyDescent="0.3">
      <c r="A170" s="17" t="s">
        <v>344</v>
      </c>
      <c r="B170" s="11" t="s">
        <v>345</v>
      </c>
      <c r="C170" s="12">
        <f t="shared" si="219"/>
        <v>297</v>
      </c>
      <c r="D170" s="41" t="str">
        <f t="shared" si="220"/>
        <v>m²</v>
      </c>
      <c r="E170" s="41">
        <f>ROUND((X170*(1-$M$5))*(1+BDI!$C$21),2)</f>
        <v>29.85</v>
      </c>
      <c r="F170" s="41">
        <f>ROUND((Y170*(1-$N$5))*(1+BDI!$C$21),2)</f>
        <v>23.46</v>
      </c>
      <c r="G170" s="41">
        <f t="shared" si="225"/>
        <v>53.31</v>
      </c>
      <c r="H170" s="13">
        <f t="shared" si="221"/>
        <v>8865.4500000000007</v>
      </c>
      <c r="I170" s="13">
        <f t="shared" si="222"/>
        <v>6967.62</v>
      </c>
      <c r="J170" s="14">
        <f t="shared" si="226"/>
        <v>15833.070000000002</v>
      </c>
      <c r="M170" s="54"/>
      <c r="N170" s="56"/>
      <c r="V170" s="74">
        <v>297</v>
      </c>
      <c r="W170" s="74" t="s">
        <v>59</v>
      </c>
      <c r="X170" s="13">
        <v>37.29</v>
      </c>
      <c r="Y170" s="13">
        <v>29.31</v>
      </c>
      <c r="Z170" s="13">
        <f t="shared" si="223"/>
        <v>66.599999999999994</v>
      </c>
      <c r="AB170" s="74">
        <v>297</v>
      </c>
      <c r="AC170" s="74" t="s">
        <v>59</v>
      </c>
      <c r="AD170" s="13">
        <v>48.04</v>
      </c>
      <c r="AE170" s="13">
        <v>37.76</v>
      </c>
      <c r="AF170" s="13">
        <f t="shared" si="224"/>
        <v>85.8</v>
      </c>
      <c r="AH170" s="89">
        <f t="shared" si="201"/>
        <v>-0.37864279766860942</v>
      </c>
      <c r="AI170" s="89">
        <f t="shared" si="202"/>
        <v>-0.37870762711864403</v>
      </c>
      <c r="AJ170" s="89">
        <f t="shared" si="203"/>
        <v>-0.37867132867132858</v>
      </c>
    </row>
    <row r="171" spans="1:36" x14ac:dyDescent="0.3">
      <c r="A171" s="17" t="s">
        <v>346</v>
      </c>
      <c r="B171" s="11" t="s">
        <v>347</v>
      </c>
      <c r="C171" s="12">
        <f t="shared" si="219"/>
        <v>112</v>
      </c>
      <c r="D171" s="41" t="str">
        <f t="shared" si="220"/>
        <v>m²</v>
      </c>
      <c r="E171" s="41">
        <f>ROUND((X171*(1-$M$5))*(1+BDI!$C$21),2)</f>
        <v>29.85</v>
      </c>
      <c r="F171" s="41">
        <f>ROUND((Y171*(1-$N$5))*(1+BDI!$C$21),2)</f>
        <v>68.849999999999994</v>
      </c>
      <c r="G171" s="41">
        <f t="shared" si="225"/>
        <v>98.699999999999989</v>
      </c>
      <c r="H171" s="13">
        <f t="shared" si="221"/>
        <v>3343.2000000000003</v>
      </c>
      <c r="I171" s="13">
        <f t="shared" si="222"/>
        <v>7711.1999999999989</v>
      </c>
      <c r="J171" s="14">
        <f t="shared" si="226"/>
        <v>11054.399999999998</v>
      </c>
      <c r="M171" s="54"/>
      <c r="N171" s="56"/>
      <c r="V171" s="74">
        <v>112</v>
      </c>
      <c r="W171" s="74" t="s">
        <v>59</v>
      </c>
      <c r="X171" s="13">
        <v>37.29</v>
      </c>
      <c r="Y171" s="13">
        <v>86.01</v>
      </c>
      <c r="Z171" s="13">
        <f t="shared" si="223"/>
        <v>123.30000000000001</v>
      </c>
      <c r="AB171" s="74">
        <v>112</v>
      </c>
      <c r="AC171" s="74" t="s">
        <v>59</v>
      </c>
      <c r="AD171" s="13">
        <v>48.04</v>
      </c>
      <c r="AE171" s="13">
        <v>110.8</v>
      </c>
      <c r="AF171" s="13">
        <f t="shared" si="224"/>
        <v>158.84</v>
      </c>
      <c r="AH171" s="89">
        <f t="shared" si="201"/>
        <v>-0.37864279766860942</v>
      </c>
      <c r="AI171" s="89">
        <f t="shared" si="202"/>
        <v>-0.37861010830324915</v>
      </c>
      <c r="AJ171" s="89">
        <f t="shared" si="203"/>
        <v>-0.37861999496348531</v>
      </c>
    </row>
    <row r="172" spans="1:36" x14ac:dyDescent="0.3">
      <c r="A172" s="17" t="s">
        <v>348</v>
      </c>
      <c r="B172" s="11" t="s">
        <v>349</v>
      </c>
      <c r="C172" s="12">
        <f t="shared" si="219"/>
        <v>343</v>
      </c>
      <c r="D172" s="41" t="str">
        <f t="shared" si="220"/>
        <v>m²</v>
      </c>
      <c r="E172" s="41">
        <f>ROUND((X172*(1-$M$5))*(1+BDI!$C$21),2)</f>
        <v>499.74</v>
      </c>
      <c r="F172" s="41">
        <f>ROUND((Y172*(1-$N$5))*(1+BDI!$C$21),2)</f>
        <v>135.94999999999999</v>
      </c>
      <c r="G172" s="41">
        <f t="shared" si="225"/>
        <v>635.69000000000005</v>
      </c>
      <c r="H172" s="13">
        <f t="shared" si="221"/>
        <v>171410.82</v>
      </c>
      <c r="I172" s="13">
        <f t="shared" si="222"/>
        <v>46630.85</v>
      </c>
      <c r="J172" s="14">
        <f t="shared" si="226"/>
        <v>218041.67</v>
      </c>
      <c r="M172" s="54"/>
      <c r="N172" s="56"/>
      <c r="V172" s="74">
        <v>343</v>
      </c>
      <c r="W172" s="74" t="s">
        <v>59</v>
      </c>
      <c r="X172" s="13">
        <v>624.29999999999995</v>
      </c>
      <c r="Y172" s="13">
        <v>169.83</v>
      </c>
      <c r="Z172" s="13">
        <f t="shared" si="223"/>
        <v>794.13</v>
      </c>
      <c r="AB172" s="74">
        <v>343</v>
      </c>
      <c r="AC172" s="74" t="s">
        <v>59</v>
      </c>
      <c r="AD172" s="13">
        <v>804.22</v>
      </c>
      <c r="AE172" s="13">
        <v>218.78</v>
      </c>
      <c r="AF172" s="13">
        <f t="shared" si="224"/>
        <v>1023</v>
      </c>
      <c r="AH172" s="89">
        <f t="shared" si="201"/>
        <v>-0.37860286986148073</v>
      </c>
      <c r="AI172" s="89">
        <f t="shared" si="202"/>
        <v>-0.37859950635341444</v>
      </c>
      <c r="AJ172" s="89">
        <f t="shared" si="203"/>
        <v>-0.37860215053763435</v>
      </c>
    </row>
    <row r="173" spans="1:36" x14ac:dyDescent="0.3">
      <c r="A173" s="17" t="s">
        <v>350</v>
      </c>
      <c r="B173" s="11" t="s">
        <v>351</v>
      </c>
      <c r="C173" s="12">
        <f t="shared" si="219"/>
        <v>1</v>
      </c>
      <c r="D173" s="41" t="str">
        <f t="shared" si="220"/>
        <v>un</v>
      </c>
      <c r="E173" s="41">
        <f>ROUND((X173*(1-$M$5))*(1+BDI!$C$21),2)</f>
        <v>257.85000000000002</v>
      </c>
      <c r="F173" s="41">
        <f>ROUND((Y173*(1-$N$5))*(1+BDI!$C$21),2)</f>
        <v>37.200000000000003</v>
      </c>
      <c r="G173" s="41">
        <f t="shared" si="225"/>
        <v>295.05</v>
      </c>
      <c r="H173" s="13">
        <f t="shared" si="221"/>
        <v>257.85000000000002</v>
      </c>
      <c r="I173" s="13">
        <f t="shared" si="222"/>
        <v>37.200000000000003</v>
      </c>
      <c r="J173" s="14">
        <f t="shared" si="226"/>
        <v>295.05</v>
      </c>
      <c r="M173" s="54"/>
      <c r="N173" s="55"/>
      <c r="V173" s="74">
        <v>1</v>
      </c>
      <c r="W173" s="74" t="s">
        <v>109</v>
      </c>
      <c r="X173" s="13">
        <v>322.12</v>
      </c>
      <c r="Y173" s="13">
        <v>46.47</v>
      </c>
      <c r="Z173" s="13">
        <f t="shared" si="223"/>
        <v>368.59000000000003</v>
      </c>
      <c r="AB173" s="74">
        <v>1</v>
      </c>
      <c r="AC173" s="74" t="s">
        <v>109</v>
      </c>
      <c r="AD173" s="13">
        <v>414.95</v>
      </c>
      <c r="AE173" s="13">
        <v>59.86</v>
      </c>
      <c r="AF173" s="13">
        <f t="shared" si="224"/>
        <v>474.81</v>
      </c>
      <c r="AH173" s="89">
        <f t="shared" si="201"/>
        <v>-0.37859983130497643</v>
      </c>
      <c r="AI173" s="89">
        <f t="shared" si="202"/>
        <v>-0.37854994988306045</v>
      </c>
      <c r="AJ173" s="89">
        <f t="shared" si="203"/>
        <v>-0.37859354268022993</v>
      </c>
    </row>
    <row r="174" spans="1:36" x14ac:dyDescent="0.3">
      <c r="A174" s="17" t="s">
        <v>352</v>
      </c>
      <c r="B174" s="11" t="s">
        <v>353</v>
      </c>
      <c r="C174" s="12">
        <f t="shared" si="219"/>
        <v>3</v>
      </c>
      <c r="D174" s="41" t="str">
        <f t="shared" si="220"/>
        <v>un</v>
      </c>
      <c r="E174" s="41">
        <f>ROUND((X174*(1-$M$5))*(1+BDI!$C$21),2)</f>
        <v>120.91</v>
      </c>
      <c r="F174" s="41">
        <f>ROUND((Y174*(1-$N$5))*(1+BDI!$C$21),2)</f>
        <v>34.93</v>
      </c>
      <c r="G174" s="41">
        <f t="shared" si="225"/>
        <v>155.84</v>
      </c>
      <c r="H174" s="13">
        <f t="shared" si="221"/>
        <v>362.73</v>
      </c>
      <c r="I174" s="13">
        <f t="shared" si="222"/>
        <v>104.78999999999999</v>
      </c>
      <c r="J174" s="14">
        <f t="shared" si="226"/>
        <v>467.52</v>
      </c>
      <c r="M174" s="54"/>
      <c r="N174" s="56"/>
      <c r="V174" s="74">
        <v>3</v>
      </c>
      <c r="W174" s="74" t="s">
        <v>109</v>
      </c>
      <c r="X174" s="13">
        <v>151.04</v>
      </c>
      <c r="Y174" s="13">
        <v>43.64</v>
      </c>
      <c r="Z174" s="13">
        <f t="shared" si="223"/>
        <v>194.68</v>
      </c>
      <c r="AB174" s="74">
        <v>3</v>
      </c>
      <c r="AC174" s="74" t="s">
        <v>109</v>
      </c>
      <c r="AD174" s="13">
        <v>194.57</v>
      </c>
      <c r="AE174" s="13">
        <v>56.22</v>
      </c>
      <c r="AF174" s="13">
        <f t="shared" si="224"/>
        <v>250.79</v>
      </c>
      <c r="AH174" s="89">
        <f t="shared" si="201"/>
        <v>-0.37857840365935136</v>
      </c>
      <c r="AI174" s="89">
        <f t="shared" si="202"/>
        <v>-0.37869085734614016</v>
      </c>
      <c r="AJ174" s="89">
        <f t="shared" si="203"/>
        <v>-0.37860361258423381</v>
      </c>
    </row>
    <row r="175" spans="1:36" x14ac:dyDescent="0.3">
      <c r="A175" s="17" t="s">
        <v>354</v>
      </c>
      <c r="B175" s="11" t="s">
        <v>355</v>
      </c>
      <c r="C175" s="12">
        <f t="shared" si="219"/>
        <v>67</v>
      </c>
      <c r="D175" s="41" t="str">
        <f t="shared" si="220"/>
        <v>un</v>
      </c>
      <c r="E175" s="41">
        <f>ROUND((X175*(1-$M$5))*(1+BDI!$C$21),2)</f>
        <v>3.14</v>
      </c>
      <c r="F175" s="41">
        <f>ROUND((Y175*(1-$N$5))*(1+BDI!$C$21),2)</f>
        <v>47.15</v>
      </c>
      <c r="G175" s="41">
        <f t="shared" si="225"/>
        <v>50.29</v>
      </c>
      <c r="H175" s="13">
        <f t="shared" si="221"/>
        <v>210.38</v>
      </c>
      <c r="I175" s="13">
        <f t="shared" si="222"/>
        <v>3159.0499999999997</v>
      </c>
      <c r="J175" s="14">
        <f t="shared" si="226"/>
        <v>3369.43</v>
      </c>
      <c r="M175" s="54"/>
      <c r="N175" s="56"/>
      <c r="V175" s="74">
        <v>67</v>
      </c>
      <c r="W175" s="74" t="s">
        <v>109</v>
      </c>
      <c r="X175" s="13">
        <v>3.92</v>
      </c>
      <c r="Y175" s="13">
        <v>58.9</v>
      </c>
      <c r="Z175" s="13">
        <f t="shared" si="223"/>
        <v>62.82</v>
      </c>
      <c r="AB175" s="74">
        <v>67</v>
      </c>
      <c r="AC175" s="74" t="s">
        <v>109</v>
      </c>
      <c r="AD175" s="13">
        <v>5.05</v>
      </c>
      <c r="AE175" s="13">
        <v>75.87</v>
      </c>
      <c r="AF175" s="13">
        <f t="shared" si="224"/>
        <v>80.92</v>
      </c>
      <c r="AH175" s="89">
        <f t="shared" si="201"/>
        <v>-0.37821782178217822</v>
      </c>
      <c r="AI175" s="89">
        <f t="shared" si="202"/>
        <v>-0.37854224331092667</v>
      </c>
      <c r="AJ175" s="89">
        <f t="shared" si="203"/>
        <v>-0.37852199703410783</v>
      </c>
    </row>
    <row r="176" spans="1:36" x14ac:dyDescent="0.3">
      <c r="A176" s="17" t="s">
        <v>356</v>
      </c>
      <c r="B176" s="11" t="s">
        <v>357</v>
      </c>
      <c r="C176" s="12">
        <f t="shared" si="219"/>
        <v>3</v>
      </c>
      <c r="D176" s="41" t="str">
        <f t="shared" si="220"/>
        <v>m²</v>
      </c>
      <c r="E176" s="41">
        <f>ROUND((X176*(1-$M$5))*(1+BDI!$C$21),2)</f>
        <v>92.99</v>
      </c>
      <c r="F176" s="41">
        <f>ROUND((Y176*(1-$N$5))*(1+BDI!$C$21),2)</f>
        <v>40.46</v>
      </c>
      <c r="G176" s="41">
        <f t="shared" si="225"/>
        <v>133.44999999999999</v>
      </c>
      <c r="H176" s="13">
        <f t="shared" si="221"/>
        <v>278.96999999999997</v>
      </c>
      <c r="I176" s="13">
        <f t="shared" si="222"/>
        <v>121.38</v>
      </c>
      <c r="J176" s="14">
        <f t="shared" si="226"/>
        <v>400.34999999999997</v>
      </c>
      <c r="M176" s="54"/>
      <c r="N176" s="56"/>
      <c r="V176" s="74">
        <v>3</v>
      </c>
      <c r="W176" s="74" t="s">
        <v>59</v>
      </c>
      <c r="X176" s="13">
        <v>116.17</v>
      </c>
      <c r="Y176" s="13">
        <v>50.54</v>
      </c>
      <c r="Z176" s="13">
        <f t="shared" si="223"/>
        <v>166.71</v>
      </c>
      <c r="AB176" s="74">
        <v>3</v>
      </c>
      <c r="AC176" s="74" t="s">
        <v>59</v>
      </c>
      <c r="AD176" s="13">
        <v>149.65</v>
      </c>
      <c r="AE176" s="13">
        <v>65.11</v>
      </c>
      <c r="AF176" s="13">
        <f t="shared" si="224"/>
        <v>214.76</v>
      </c>
      <c r="AH176" s="89">
        <f t="shared" si="201"/>
        <v>-0.37861677246909464</v>
      </c>
      <c r="AI176" s="89">
        <f t="shared" si="202"/>
        <v>-0.37859007832898173</v>
      </c>
      <c r="AJ176" s="89">
        <f t="shared" si="203"/>
        <v>-0.37860867945613708</v>
      </c>
    </row>
    <row r="177" spans="1:36" x14ac:dyDescent="0.3">
      <c r="A177" s="17" t="s">
        <v>358</v>
      </c>
      <c r="B177" s="11" t="s">
        <v>359</v>
      </c>
      <c r="C177" s="12">
        <f t="shared" ref="C177:C184" si="227">V177</f>
        <v>1</v>
      </c>
      <c r="D177" s="41" t="str">
        <f t="shared" ref="D177:D184" si="228">W177</f>
        <v>un</v>
      </c>
      <c r="E177" s="41">
        <f>ROUND((X177*(1-$M$5))*(1+BDI!$C$21),2)</f>
        <v>241.15</v>
      </c>
      <c r="F177" s="41">
        <f>ROUND((Y177*(1-$N$5))*(1+BDI!$C$21),2)</f>
        <v>334.36</v>
      </c>
      <c r="G177" s="41">
        <f t="shared" ref="G177:G184" si="229">F177+E177</f>
        <v>575.51</v>
      </c>
      <c r="H177" s="13">
        <f t="shared" ref="H177:H184" si="230">C177*E177</f>
        <v>241.15</v>
      </c>
      <c r="I177" s="13">
        <f t="shared" ref="I177:I184" si="231">C177*F177</f>
        <v>334.36</v>
      </c>
      <c r="J177" s="14">
        <f t="shared" ref="J177:J184" si="232">SUM(E177:F177)*C177</f>
        <v>575.51</v>
      </c>
      <c r="M177" s="54"/>
      <c r="N177" s="56"/>
      <c r="V177" s="74">
        <v>1</v>
      </c>
      <c r="W177" s="74" t="s">
        <v>109</v>
      </c>
      <c r="X177" s="13">
        <v>301.25</v>
      </c>
      <c r="Y177" s="13">
        <v>417.7</v>
      </c>
      <c r="Z177" s="13">
        <f t="shared" ref="Z177:Z184" si="233">SUM(X177:Y177)</f>
        <v>718.95</v>
      </c>
      <c r="AB177" s="74">
        <v>1</v>
      </c>
      <c r="AC177" s="74" t="s">
        <v>109</v>
      </c>
      <c r="AD177" s="13">
        <v>388.07</v>
      </c>
      <c r="AE177" s="13">
        <v>538.08000000000004</v>
      </c>
      <c r="AF177" s="13">
        <f t="shared" ref="AF177:AF184" si="234">SUM(AD177:AE177)</f>
        <v>926.15000000000009</v>
      </c>
      <c r="AH177" s="89">
        <f t="shared" si="201"/>
        <v>-0.37859149122580971</v>
      </c>
      <c r="AI177" s="89">
        <f t="shared" si="202"/>
        <v>-0.37860541183467145</v>
      </c>
      <c r="AJ177" s="89">
        <f t="shared" si="203"/>
        <v>-0.37859957890190576</v>
      </c>
    </row>
    <row r="178" spans="1:36" x14ac:dyDescent="0.3">
      <c r="A178" s="17" t="s">
        <v>360</v>
      </c>
      <c r="B178" s="11" t="s">
        <v>361</v>
      </c>
      <c r="C178" s="12">
        <f t="shared" si="227"/>
        <v>1</v>
      </c>
      <c r="D178" s="41" t="str">
        <f t="shared" si="228"/>
        <v>un</v>
      </c>
      <c r="E178" s="41">
        <f>ROUND((X178*(1-$M$5))*(1+BDI!$C$21),2)</f>
        <v>3215.45</v>
      </c>
      <c r="F178" s="41">
        <f>ROUND((Y178*(1-$N$5))*(1+BDI!$C$21),2)</f>
        <v>116.9</v>
      </c>
      <c r="G178" s="41">
        <f t="shared" si="229"/>
        <v>3332.35</v>
      </c>
      <c r="H178" s="13">
        <f t="shared" si="230"/>
        <v>3215.45</v>
      </c>
      <c r="I178" s="13">
        <f t="shared" si="231"/>
        <v>116.9</v>
      </c>
      <c r="J178" s="14">
        <f t="shared" si="232"/>
        <v>3332.35</v>
      </c>
      <c r="M178" s="54"/>
      <c r="N178" s="56"/>
      <c r="V178" s="74">
        <v>1</v>
      </c>
      <c r="W178" s="74" t="s">
        <v>109</v>
      </c>
      <c r="X178" s="13">
        <v>4016.87</v>
      </c>
      <c r="Y178" s="13">
        <v>146.03</v>
      </c>
      <c r="Z178" s="13">
        <f t="shared" si="233"/>
        <v>4162.8999999999996</v>
      </c>
      <c r="AB178" s="74">
        <v>1</v>
      </c>
      <c r="AC178" s="74" t="s">
        <v>109</v>
      </c>
      <c r="AD178" s="13">
        <v>5174.53</v>
      </c>
      <c r="AE178" s="13">
        <v>188.12</v>
      </c>
      <c r="AF178" s="13">
        <f t="shared" si="234"/>
        <v>5362.65</v>
      </c>
      <c r="AH178" s="89">
        <f t="shared" si="201"/>
        <v>-0.37860056855405222</v>
      </c>
      <c r="AI178" s="89">
        <f t="shared" si="202"/>
        <v>-0.37858813523283008</v>
      </c>
      <c r="AJ178" s="89">
        <f t="shared" si="203"/>
        <v>-0.37860013239722901</v>
      </c>
    </row>
    <row r="179" spans="1:36" x14ac:dyDescent="0.3">
      <c r="A179" s="17" t="s">
        <v>362</v>
      </c>
      <c r="B179" s="11" t="s">
        <v>363</v>
      </c>
      <c r="C179" s="12">
        <f t="shared" si="227"/>
        <v>1</v>
      </c>
      <c r="D179" s="41" t="str">
        <f t="shared" si="228"/>
        <v>un</v>
      </c>
      <c r="E179" s="41">
        <f>ROUND((X179*(1-$M$5))*(1+BDI!$C$21),2)</f>
        <v>2047.25</v>
      </c>
      <c r="F179" s="41">
        <f>ROUND((Y179*(1-$N$5))*(1+BDI!$C$21),2)</f>
        <v>116.9</v>
      </c>
      <c r="G179" s="41">
        <f t="shared" si="229"/>
        <v>2164.15</v>
      </c>
      <c r="H179" s="13">
        <f t="shared" si="230"/>
        <v>2047.25</v>
      </c>
      <c r="I179" s="13">
        <f t="shared" si="231"/>
        <v>116.9</v>
      </c>
      <c r="J179" s="14">
        <f t="shared" si="232"/>
        <v>2164.15</v>
      </c>
      <c r="M179" s="54"/>
      <c r="N179" s="56"/>
      <c r="V179" s="74">
        <v>1</v>
      </c>
      <c r="W179" s="74" t="s">
        <v>109</v>
      </c>
      <c r="X179" s="13">
        <v>2557.5</v>
      </c>
      <c r="Y179" s="13">
        <v>146.03</v>
      </c>
      <c r="Z179" s="13">
        <f t="shared" si="233"/>
        <v>2703.53</v>
      </c>
      <c r="AB179" s="74">
        <v>1</v>
      </c>
      <c r="AC179" s="74" t="s">
        <v>109</v>
      </c>
      <c r="AD179" s="13">
        <v>3294.57</v>
      </c>
      <c r="AE179" s="13">
        <v>188.12</v>
      </c>
      <c r="AF179" s="13">
        <f t="shared" si="234"/>
        <v>3482.69</v>
      </c>
      <c r="AH179" s="89">
        <f t="shared" si="201"/>
        <v>-0.37859872456800137</v>
      </c>
      <c r="AI179" s="89">
        <f t="shared" si="202"/>
        <v>-0.37858813523283008</v>
      </c>
      <c r="AJ179" s="89">
        <f t="shared" si="203"/>
        <v>-0.37859815257746166</v>
      </c>
    </row>
    <row r="180" spans="1:36" x14ac:dyDescent="0.3">
      <c r="A180" s="17" t="s">
        <v>364</v>
      </c>
      <c r="B180" s="11" t="s">
        <v>365</v>
      </c>
      <c r="C180" s="12">
        <f t="shared" si="227"/>
        <v>1</v>
      </c>
      <c r="D180" s="41" t="str">
        <f t="shared" si="228"/>
        <v>un</v>
      </c>
      <c r="E180" s="41">
        <f>ROUND((X180*(1-$M$5))*(1+BDI!$C$21),2)</f>
        <v>637.72</v>
      </c>
      <c r="F180" s="41">
        <f>ROUND((Y180*(1-$N$5))*(1+BDI!$C$21),2)</f>
        <v>164.04</v>
      </c>
      <c r="G180" s="41">
        <f t="shared" si="229"/>
        <v>801.76</v>
      </c>
      <c r="H180" s="13">
        <f t="shared" si="230"/>
        <v>637.72</v>
      </c>
      <c r="I180" s="13">
        <f t="shared" si="231"/>
        <v>164.04</v>
      </c>
      <c r="J180" s="14">
        <f t="shared" si="232"/>
        <v>801.76</v>
      </c>
      <c r="M180" s="54"/>
      <c r="N180" s="56"/>
      <c r="V180" s="74">
        <v>1</v>
      </c>
      <c r="W180" s="74" t="s">
        <v>109</v>
      </c>
      <c r="X180" s="13">
        <v>796.67</v>
      </c>
      <c r="Y180" s="13">
        <v>204.93</v>
      </c>
      <c r="Z180" s="13">
        <f t="shared" si="233"/>
        <v>1001.5999999999999</v>
      </c>
      <c r="AB180" s="74">
        <v>1</v>
      </c>
      <c r="AC180" s="74" t="s">
        <v>109</v>
      </c>
      <c r="AD180" s="13">
        <v>1026.27</v>
      </c>
      <c r="AE180" s="13">
        <v>263.99</v>
      </c>
      <c r="AF180" s="13">
        <f t="shared" si="234"/>
        <v>1290.26</v>
      </c>
      <c r="AH180" s="89">
        <f t="shared" si="201"/>
        <v>-0.37860407105342642</v>
      </c>
      <c r="AI180" s="89">
        <f t="shared" si="202"/>
        <v>-0.37861282624341841</v>
      </c>
      <c r="AJ180" s="89">
        <f t="shared" si="203"/>
        <v>-0.3786058623843257</v>
      </c>
    </row>
    <row r="181" spans="1:36" x14ac:dyDescent="0.3">
      <c r="A181" s="17" t="s">
        <v>366</v>
      </c>
      <c r="B181" s="11" t="s">
        <v>367</v>
      </c>
      <c r="C181" s="12">
        <f t="shared" si="227"/>
        <v>1</v>
      </c>
      <c r="D181" s="41" t="str">
        <f t="shared" si="228"/>
        <v>m²</v>
      </c>
      <c r="E181" s="41">
        <f>ROUND((X181*(1-$M$5))*(1+BDI!$C$21),2)</f>
        <v>330.6</v>
      </c>
      <c r="F181" s="41">
        <f>ROUND((Y181*(1-$N$5))*(1+BDI!$C$21),2)</f>
        <v>54.84</v>
      </c>
      <c r="G181" s="41">
        <f t="shared" si="229"/>
        <v>385.44000000000005</v>
      </c>
      <c r="H181" s="13">
        <f t="shared" si="230"/>
        <v>330.6</v>
      </c>
      <c r="I181" s="13">
        <f t="shared" si="231"/>
        <v>54.84</v>
      </c>
      <c r="J181" s="14">
        <f t="shared" si="232"/>
        <v>385.44000000000005</v>
      </c>
      <c r="M181" s="54"/>
      <c r="N181" s="55"/>
      <c r="V181" s="74">
        <v>1</v>
      </c>
      <c r="W181" s="74" t="s">
        <v>59</v>
      </c>
      <c r="X181" s="13">
        <v>413</v>
      </c>
      <c r="Y181" s="13">
        <v>68.510000000000005</v>
      </c>
      <c r="Z181" s="13">
        <f t="shared" si="233"/>
        <v>481.51</v>
      </c>
      <c r="AB181" s="74">
        <v>1</v>
      </c>
      <c r="AC181" s="74" t="s">
        <v>59</v>
      </c>
      <c r="AD181" s="13">
        <v>532.03</v>
      </c>
      <c r="AE181" s="13">
        <v>88.25</v>
      </c>
      <c r="AF181" s="13">
        <f t="shared" si="234"/>
        <v>620.28</v>
      </c>
      <c r="AH181" s="89">
        <f t="shared" si="201"/>
        <v>-0.37860646955998711</v>
      </c>
      <c r="AI181" s="89">
        <f t="shared" si="202"/>
        <v>-0.37858356940509907</v>
      </c>
      <c r="AJ181" s="89">
        <f t="shared" si="203"/>
        <v>-0.37860321145289211</v>
      </c>
    </row>
    <row r="182" spans="1:36" x14ac:dyDescent="0.3">
      <c r="A182" s="17" t="s">
        <v>368</v>
      </c>
      <c r="B182" s="11" t="s">
        <v>369</v>
      </c>
      <c r="C182" s="12">
        <f t="shared" si="227"/>
        <v>1</v>
      </c>
      <c r="D182" s="41" t="str">
        <f t="shared" si="228"/>
        <v>m²</v>
      </c>
      <c r="E182" s="41">
        <f>ROUND((X182*(1-$M$5))*(1+BDI!$C$21),2)</f>
        <v>330.6</v>
      </c>
      <c r="F182" s="41">
        <f>ROUND((Y182*(1-$N$5))*(1+BDI!$C$21),2)</f>
        <v>21.94</v>
      </c>
      <c r="G182" s="41">
        <f t="shared" si="229"/>
        <v>352.54</v>
      </c>
      <c r="H182" s="13">
        <f t="shared" si="230"/>
        <v>330.6</v>
      </c>
      <c r="I182" s="13">
        <f t="shared" si="231"/>
        <v>21.94</v>
      </c>
      <c r="J182" s="14">
        <f t="shared" si="232"/>
        <v>352.54</v>
      </c>
      <c r="M182" s="54"/>
      <c r="N182" s="56"/>
      <c r="V182" s="74">
        <v>1</v>
      </c>
      <c r="W182" s="74" t="s">
        <v>59</v>
      </c>
      <c r="X182" s="13">
        <v>413</v>
      </c>
      <c r="Y182" s="13">
        <v>27.41</v>
      </c>
      <c r="Z182" s="13">
        <f t="shared" si="233"/>
        <v>440.41</v>
      </c>
      <c r="AB182" s="74">
        <v>1</v>
      </c>
      <c r="AC182" s="74" t="s">
        <v>59</v>
      </c>
      <c r="AD182" s="13">
        <v>532.03</v>
      </c>
      <c r="AE182" s="13">
        <v>35.31</v>
      </c>
      <c r="AF182" s="13">
        <f t="shared" si="234"/>
        <v>567.33999999999992</v>
      </c>
      <c r="AH182" s="89">
        <f t="shared" si="201"/>
        <v>-0.37860646955998711</v>
      </c>
      <c r="AI182" s="89">
        <f t="shared" si="202"/>
        <v>-0.37864627584253752</v>
      </c>
      <c r="AJ182" s="89">
        <f t="shared" si="203"/>
        <v>-0.37860894701589864</v>
      </c>
    </row>
    <row r="183" spans="1:36" x14ac:dyDescent="0.3">
      <c r="A183" s="17" t="s">
        <v>370</v>
      </c>
      <c r="B183" s="11" t="s">
        <v>371</v>
      </c>
      <c r="C183" s="12">
        <f t="shared" si="227"/>
        <v>1</v>
      </c>
      <c r="D183" s="41" t="str">
        <f t="shared" si="228"/>
        <v>m²</v>
      </c>
      <c r="E183" s="41">
        <f>ROUND((X183*(1-$M$5))*(1+BDI!$C$21),2)</f>
        <v>330.6</v>
      </c>
      <c r="F183" s="41">
        <f>ROUND((Y183*(1-$N$5))*(1+BDI!$C$21),2)</f>
        <v>10.97</v>
      </c>
      <c r="G183" s="41">
        <f t="shared" si="229"/>
        <v>341.57000000000005</v>
      </c>
      <c r="H183" s="13">
        <f t="shared" si="230"/>
        <v>330.6</v>
      </c>
      <c r="I183" s="13">
        <f t="shared" si="231"/>
        <v>10.97</v>
      </c>
      <c r="J183" s="14">
        <f t="shared" si="232"/>
        <v>341.57000000000005</v>
      </c>
      <c r="M183" s="54"/>
      <c r="N183" s="56"/>
      <c r="V183" s="74">
        <v>1</v>
      </c>
      <c r="W183" s="74" t="s">
        <v>59</v>
      </c>
      <c r="X183" s="13">
        <v>413</v>
      </c>
      <c r="Y183" s="13">
        <v>13.7</v>
      </c>
      <c r="Z183" s="13">
        <f t="shared" si="233"/>
        <v>426.7</v>
      </c>
      <c r="AB183" s="74">
        <v>1</v>
      </c>
      <c r="AC183" s="74" t="s">
        <v>59</v>
      </c>
      <c r="AD183" s="13">
        <v>532.03</v>
      </c>
      <c r="AE183" s="13">
        <v>17.649999999999999</v>
      </c>
      <c r="AF183" s="13">
        <f t="shared" si="234"/>
        <v>549.67999999999995</v>
      </c>
      <c r="AH183" s="89">
        <f t="shared" si="201"/>
        <v>-0.37860646955998711</v>
      </c>
      <c r="AI183" s="89">
        <f t="shared" si="202"/>
        <v>-0.37847025495750697</v>
      </c>
      <c r="AJ183" s="89">
        <f t="shared" si="203"/>
        <v>-0.37860209576480852</v>
      </c>
    </row>
    <row r="184" spans="1:36" x14ac:dyDescent="0.3">
      <c r="A184" s="17" t="s">
        <v>372</v>
      </c>
      <c r="B184" s="11" t="s">
        <v>373</v>
      </c>
      <c r="C184" s="12">
        <f t="shared" si="227"/>
        <v>1</v>
      </c>
      <c r="D184" s="41" t="str">
        <f t="shared" si="228"/>
        <v>m</v>
      </c>
      <c r="E184" s="41">
        <f>ROUND((X184*(1-$M$5))*(1+BDI!$C$21),2)</f>
        <v>119.54</v>
      </c>
      <c r="F184" s="41">
        <f>ROUND((Y184*(1-$N$5))*(1+BDI!$C$21),2)</f>
        <v>31.27</v>
      </c>
      <c r="G184" s="41">
        <f t="shared" si="229"/>
        <v>150.81</v>
      </c>
      <c r="H184" s="13">
        <f t="shared" si="230"/>
        <v>119.54</v>
      </c>
      <c r="I184" s="13">
        <f t="shared" si="231"/>
        <v>31.27</v>
      </c>
      <c r="J184" s="14">
        <f t="shared" si="232"/>
        <v>150.81</v>
      </c>
      <c r="M184" s="54"/>
      <c r="N184" s="56"/>
      <c r="V184" s="74">
        <v>1</v>
      </c>
      <c r="W184" s="74" t="s">
        <v>75</v>
      </c>
      <c r="X184" s="13">
        <v>149.34</v>
      </c>
      <c r="Y184" s="13">
        <v>39.06</v>
      </c>
      <c r="Z184" s="13">
        <f t="shared" si="233"/>
        <v>188.4</v>
      </c>
      <c r="AB184" s="74">
        <v>1</v>
      </c>
      <c r="AC184" s="74" t="s">
        <v>75</v>
      </c>
      <c r="AD184" s="13">
        <v>192.38</v>
      </c>
      <c r="AE184" s="13">
        <v>50.32</v>
      </c>
      <c r="AF184" s="13">
        <f t="shared" si="234"/>
        <v>242.7</v>
      </c>
      <c r="AH184" s="89">
        <f t="shared" si="201"/>
        <v>-0.37862563676057792</v>
      </c>
      <c r="AI184" s="89">
        <f t="shared" si="202"/>
        <v>-0.37857710651828302</v>
      </c>
      <c r="AJ184" s="89">
        <f t="shared" si="203"/>
        <v>-0.37861557478368357</v>
      </c>
    </row>
    <row r="185" spans="1:36" x14ac:dyDescent="0.3">
      <c r="A185" s="17" t="s">
        <v>374</v>
      </c>
      <c r="B185" s="11" t="s">
        <v>375</v>
      </c>
      <c r="C185" s="12">
        <f t="shared" si="219"/>
        <v>1</v>
      </c>
      <c r="D185" s="41" t="str">
        <f t="shared" si="220"/>
        <v>m</v>
      </c>
      <c r="E185" s="41">
        <f>ROUND((X185*(1-$M$5))*(1+BDI!$C$21),2)</f>
        <v>165.54</v>
      </c>
      <c r="F185" s="41">
        <f>ROUND((Y185*(1-$N$5))*(1+BDI!$C$21),2)</f>
        <v>23.57</v>
      </c>
      <c r="G185" s="41">
        <f t="shared" si="225"/>
        <v>189.10999999999999</v>
      </c>
      <c r="H185" s="13">
        <f t="shared" si="221"/>
        <v>165.54</v>
      </c>
      <c r="I185" s="13">
        <f t="shared" si="222"/>
        <v>23.57</v>
      </c>
      <c r="J185" s="14">
        <f t="shared" si="226"/>
        <v>189.10999999999999</v>
      </c>
      <c r="M185" s="54"/>
      <c r="N185" s="56"/>
      <c r="V185" s="74">
        <v>1</v>
      </c>
      <c r="W185" s="74" t="s">
        <v>75</v>
      </c>
      <c r="X185" s="13">
        <v>206.8</v>
      </c>
      <c r="Y185" s="13">
        <v>29.45</v>
      </c>
      <c r="Z185" s="13">
        <f t="shared" si="223"/>
        <v>236.25</v>
      </c>
      <c r="AB185" s="74">
        <v>1</v>
      </c>
      <c r="AC185" s="74" t="s">
        <v>75</v>
      </c>
      <c r="AD185" s="13">
        <v>266.39999999999998</v>
      </c>
      <c r="AE185" s="13">
        <v>37.94</v>
      </c>
      <c r="AF185" s="13">
        <f t="shared" ref="AF185:AF190" si="235">SUM(AD185:AE185)</f>
        <v>304.33999999999997</v>
      </c>
      <c r="AH185" s="89">
        <f t="shared" si="201"/>
        <v>-0.37860360360360357</v>
      </c>
      <c r="AI185" s="89">
        <f t="shared" si="202"/>
        <v>-0.37875593041644695</v>
      </c>
      <c r="AJ185" s="89">
        <f t="shared" si="203"/>
        <v>-0.37862259315239533</v>
      </c>
    </row>
    <row r="186" spans="1:36" x14ac:dyDescent="0.3">
      <c r="A186" s="17" t="s">
        <v>376</v>
      </c>
      <c r="B186" s="11" t="s">
        <v>377</v>
      </c>
      <c r="C186" s="12">
        <f t="shared" si="219"/>
        <v>1</v>
      </c>
      <c r="D186" s="41" t="str">
        <f t="shared" si="220"/>
        <v>m</v>
      </c>
      <c r="E186" s="41">
        <f>ROUND((X186*(1-$M$5))*(1+BDI!$C$21),2)</f>
        <v>321.22000000000003</v>
      </c>
      <c r="F186" s="41">
        <f>ROUND((Y186*(1-$N$5))*(1+BDI!$C$21),2)</f>
        <v>46.96</v>
      </c>
      <c r="G186" s="41">
        <f t="shared" si="225"/>
        <v>368.18</v>
      </c>
      <c r="H186" s="13">
        <f t="shared" si="221"/>
        <v>321.22000000000003</v>
      </c>
      <c r="I186" s="13">
        <f t="shared" si="222"/>
        <v>46.96</v>
      </c>
      <c r="J186" s="14">
        <f t="shared" si="226"/>
        <v>368.18</v>
      </c>
      <c r="M186" s="54"/>
      <c r="N186" s="56"/>
      <c r="V186" s="74">
        <v>1</v>
      </c>
      <c r="W186" s="74" t="s">
        <v>75</v>
      </c>
      <c r="X186" s="13">
        <v>401.28</v>
      </c>
      <c r="Y186" s="13">
        <v>58.66</v>
      </c>
      <c r="Z186" s="13">
        <f t="shared" si="223"/>
        <v>459.93999999999994</v>
      </c>
      <c r="AB186" s="74">
        <v>1</v>
      </c>
      <c r="AC186" s="74" t="s">
        <v>75</v>
      </c>
      <c r="AD186" s="13">
        <v>516.92999999999995</v>
      </c>
      <c r="AE186" s="13">
        <v>75.569999999999993</v>
      </c>
      <c r="AF186" s="13">
        <f t="shared" si="235"/>
        <v>592.5</v>
      </c>
      <c r="AH186" s="89">
        <f t="shared" si="201"/>
        <v>-0.37860058421836607</v>
      </c>
      <c r="AI186" s="89">
        <f t="shared" si="202"/>
        <v>-0.37858938732301173</v>
      </c>
      <c r="AJ186" s="89">
        <f t="shared" si="203"/>
        <v>-0.37859915611814343</v>
      </c>
    </row>
    <row r="187" spans="1:36" x14ac:dyDescent="0.3">
      <c r="A187" s="17" t="s">
        <v>378</v>
      </c>
      <c r="B187" s="11" t="s">
        <v>379</v>
      </c>
      <c r="C187" s="12">
        <f t="shared" si="219"/>
        <v>1</v>
      </c>
      <c r="D187" s="41" t="str">
        <f t="shared" si="220"/>
        <v>un</v>
      </c>
      <c r="E187" s="41">
        <f>ROUND((X187*(1-$M$5))*(1+BDI!$C$21),2)</f>
        <v>476.58</v>
      </c>
      <c r="F187" s="41">
        <f>ROUND((Y187*(1-$N$5))*(1+BDI!$C$21),2)</f>
        <v>77.930000000000007</v>
      </c>
      <c r="G187" s="41">
        <f t="shared" si="225"/>
        <v>554.51</v>
      </c>
      <c r="H187" s="13">
        <f t="shared" si="221"/>
        <v>476.58</v>
      </c>
      <c r="I187" s="13">
        <f t="shared" si="222"/>
        <v>77.930000000000007</v>
      </c>
      <c r="J187" s="14">
        <f t="shared" si="226"/>
        <v>554.51</v>
      </c>
      <c r="M187" s="54"/>
      <c r="N187" s="56"/>
      <c r="V187" s="74">
        <v>1</v>
      </c>
      <c r="W187" s="74" t="s">
        <v>109</v>
      </c>
      <c r="X187" s="13">
        <v>595.36</v>
      </c>
      <c r="Y187" s="13">
        <v>97.35</v>
      </c>
      <c r="Z187" s="13">
        <f t="shared" si="223"/>
        <v>692.71</v>
      </c>
      <c r="AB187" s="74">
        <v>1</v>
      </c>
      <c r="AC187" s="74" t="s">
        <v>109</v>
      </c>
      <c r="AD187" s="13">
        <v>766.94</v>
      </c>
      <c r="AE187" s="13">
        <v>125.41</v>
      </c>
      <c r="AF187" s="13">
        <f t="shared" si="235"/>
        <v>892.35</v>
      </c>
      <c r="AH187" s="89">
        <f t="shared" si="201"/>
        <v>-0.37859545727175536</v>
      </c>
      <c r="AI187" s="89">
        <f t="shared" si="202"/>
        <v>-0.37859819791085236</v>
      </c>
      <c r="AJ187" s="89">
        <f t="shared" si="203"/>
        <v>-0.37859584243850508</v>
      </c>
    </row>
    <row r="188" spans="1:36" x14ac:dyDescent="0.3">
      <c r="A188" s="17" t="s">
        <v>380</v>
      </c>
      <c r="B188" s="11" t="s">
        <v>381</v>
      </c>
      <c r="C188" s="12">
        <f t="shared" si="219"/>
        <v>1</v>
      </c>
      <c r="D188" s="41" t="str">
        <f t="shared" si="220"/>
        <v>un</v>
      </c>
      <c r="E188" s="41">
        <f>ROUND((X188*(1-$M$5))*(1+BDI!$C$21),2)</f>
        <v>318.39999999999998</v>
      </c>
      <c r="F188" s="41">
        <f>ROUND((Y188*(1-$N$5))*(1+BDI!$C$21),2)</f>
        <v>77.930000000000007</v>
      </c>
      <c r="G188" s="41">
        <f t="shared" si="225"/>
        <v>396.33</v>
      </c>
      <c r="H188" s="13">
        <f t="shared" si="221"/>
        <v>318.39999999999998</v>
      </c>
      <c r="I188" s="13">
        <f t="shared" si="222"/>
        <v>77.930000000000007</v>
      </c>
      <c r="J188" s="14">
        <f t="shared" si="226"/>
        <v>396.33</v>
      </c>
      <c r="M188" s="54"/>
      <c r="N188" s="56"/>
      <c r="V188" s="74">
        <v>1</v>
      </c>
      <c r="W188" s="74" t="s">
        <v>109</v>
      </c>
      <c r="X188" s="13">
        <v>397.76</v>
      </c>
      <c r="Y188" s="13">
        <v>97.35</v>
      </c>
      <c r="Z188" s="13">
        <f t="shared" si="223"/>
        <v>495.11</v>
      </c>
      <c r="AB188" s="74">
        <v>1</v>
      </c>
      <c r="AC188" s="74" t="s">
        <v>109</v>
      </c>
      <c r="AD188" s="13">
        <v>512.39</v>
      </c>
      <c r="AE188" s="13">
        <v>125.41</v>
      </c>
      <c r="AF188" s="13">
        <f t="shared" si="235"/>
        <v>637.79999999999995</v>
      </c>
      <c r="AH188" s="89">
        <f t="shared" si="201"/>
        <v>-0.37859833330080606</v>
      </c>
      <c r="AI188" s="89">
        <f t="shared" si="202"/>
        <v>-0.37859819791085236</v>
      </c>
      <c r="AJ188" s="89">
        <f t="shared" si="203"/>
        <v>-0.3785983066792098</v>
      </c>
    </row>
    <row r="189" spans="1:36" x14ac:dyDescent="0.3">
      <c r="A189" s="17" t="s">
        <v>382</v>
      </c>
      <c r="B189" s="11" t="s">
        <v>383</v>
      </c>
      <c r="C189" s="12">
        <f t="shared" si="219"/>
        <v>1</v>
      </c>
      <c r="D189" s="41" t="str">
        <f t="shared" si="220"/>
        <v>un</v>
      </c>
      <c r="E189" s="41">
        <f>ROUND((X189*(1-$M$5))*(1+BDI!$C$21),2)</f>
        <v>673.89</v>
      </c>
      <c r="F189" s="41">
        <f>ROUND((Y189*(1-$N$5))*(1+BDI!$C$21),2)</f>
        <v>77.930000000000007</v>
      </c>
      <c r="G189" s="41">
        <f t="shared" si="225"/>
        <v>751.81999999999994</v>
      </c>
      <c r="H189" s="13">
        <f t="shared" si="221"/>
        <v>673.89</v>
      </c>
      <c r="I189" s="13">
        <f t="shared" si="222"/>
        <v>77.930000000000007</v>
      </c>
      <c r="J189" s="14">
        <f t="shared" si="226"/>
        <v>751.81999999999994</v>
      </c>
      <c r="M189" s="54"/>
      <c r="N189" s="55"/>
      <c r="V189" s="74">
        <v>1</v>
      </c>
      <c r="W189" s="74" t="s">
        <v>109</v>
      </c>
      <c r="X189" s="13">
        <v>841.85</v>
      </c>
      <c r="Y189" s="13">
        <v>97.35</v>
      </c>
      <c r="Z189" s="13">
        <f t="shared" si="223"/>
        <v>939.2</v>
      </c>
      <c r="AB189" s="74">
        <v>1</v>
      </c>
      <c r="AC189" s="74" t="s">
        <v>109</v>
      </c>
      <c r="AD189" s="13">
        <v>1084.47</v>
      </c>
      <c r="AE189" s="13">
        <v>125.41</v>
      </c>
      <c r="AF189" s="13">
        <f t="shared" si="235"/>
        <v>1209.8800000000001</v>
      </c>
      <c r="AH189" s="89">
        <f t="shared" si="201"/>
        <v>-0.37859968463857929</v>
      </c>
      <c r="AI189" s="89">
        <f t="shared" si="202"/>
        <v>-0.37859819791085236</v>
      </c>
      <c r="AJ189" s="89">
        <f t="shared" si="203"/>
        <v>-0.37859953053195372</v>
      </c>
    </row>
    <row r="190" spans="1:36" x14ac:dyDescent="0.3">
      <c r="A190" s="17" t="s">
        <v>384</v>
      </c>
      <c r="B190" s="11" t="s">
        <v>385</v>
      </c>
      <c r="C190" s="12">
        <f t="shared" si="219"/>
        <v>1</v>
      </c>
      <c r="D190" s="41" t="str">
        <f t="shared" si="220"/>
        <v>un</v>
      </c>
      <c r="E190" s="41">
        <f>ROUND((X190*(1-$M$5))*(1+BDI!$C$21),2)</f>
        <v>244.16</v>
      </c>
      <c r="F190" s="41">
        <f>ROUND((Y190*(1-$N$5))*(1+BDI!$C$21),2)</f>
        <v>70.72</v>
      </c>
      <c r="G190" s="41">
        <f t="shared" si="225"/>
        <v>314.88</v>
      </c>
      <c r="H190" s="13">
        <f t="shared" si="221"/>
        <v>244.16</v>
      </c>
      <c r="I190" s="13">
        <f t="shared" si="222"/>
        <v>70.72</v>
      </c>
      <c r="J190" s="14">
        <f t="shared" si="226"/>
        <v>314.88</v>
      </c>
      <c r="M190" s="54"/>
      <c r="N190" s="56"/>
      <c r="V190" s="74">
        <v>1</v>
      </c>
      <c r="W190" s="74" t="s">
        <v>109</v>
      </c>
      <c r="X190" s="13">
        <v>305.01</v>
      </c>
      <c r="Y190" s="13">
        <v>88.35</v>
      </c>
      <c r="Z190" s="13">
        <f t="shared" si="223"/>
        <v>393.36</v>
      </c>
      <c r="AB190" s="74">
        <v>1</v>
      </c>
      <c r="AC190" s="74" t="s">
        <v>109</v>
      </c>
      <c r="AD190" s="13">
        <v>392.91</v>
      </c>
      <c r="AE190" s="13">
        <v>113.81</v>
      </c>
      <c r="AF190" s="13">
        <f t="shared" si="235"/>
        <v>506.72</v>
      </c>
      <c r="AH190" s="89">
        <f t="shared" si="201"/>
        <v>-0.37858542668804562</v>
      </c>
      <c r="AI190" s="89">
        <f t="shared" si="202"/>
        <v>-0.37861347860469208</v>
      </c>
      <c r="AJ190" s="89">
        <f t="shared" si="203"/>
        <v>-0.37859172718661194</v>
      </c>
    </row>
    <row r="191" spans="1:36" x14ac:dyDescent="0.3">
      <c r="A191" s="17" t="s">
        <v>386</v>
      </c>
      <c r="B191" s="11" t="s">
        <v>387</v>
      </c>
      <c r="C191" s="12">
        <f t="shared" ref="C191:C192" si="236">V191</f>
        <v>1</v>
      </c>
      <c r="D191" s="41" t="str">
        <f t="shared" ref="D191:D192" si="237">W191</f>
        <v>un</v>
      </c>
      <c r="E191" s="41">
        <f>ROUND((X191*(1-$M$5))*(1+BDI!$C$21),2)</f>
        <v>84.12</v>
      </c>
      <c r="F191" s="41">
        <f>ROUND((Y191*(1-$N$5))*(1+BDI!$C$21),2)</f>
        <v>47.15</v>
      </c>
      <c r="G191" s="41">
        <f t="shared" ref="G191:G192" si="238">F191+E191</f>
        <v>131.27000000000001</v>
      </c>
      <c r="H191" s="13">
        <f t="shared" ref="H191:H192" si="239">C191*E191</f>
        <v>84.12</v>
      </c>
      <c r="I191" s="13">
        <f t="shared" ref="I191:I192" si="240">C191*F191</f>
        <v>47.15</v>
      </c>
      <c r="J191" s="14">
        <f t="shared" ref="J191:J192" si="241">SUM(E191:F191)*C191</f>
        <v>131.27000000000001</v>
      </c>
      <c r="M191" s="54"/>
      <c r="N191" s="56"/>
      <c r="V191" s="74">
        <v>1</v>
      </c>
      <c r="W191" s="74" t="s">
        <v>109</v>
      </c>
      <c r="X191" s="13">
        <v>105.08</v>
      </c>
      <c r="Y191" s="13">
        <v>58.9</v>
      </c>
      <c r="Z191" s="13">
        <f t="shared" ref="Z191" si="242">SUM(X191:Y191)</f>
        <v>163.98</v>
      </c>
      <c r="AB191" s="74">
        <v>1</v>
      </c>
      <c r="AC191" s="74" t="s">
        <v>109</v>
      </c>
      <c r="AD191" s="13">
        <v>135.36000000000001</v>
      </c>
      <c r="AE191" s="13">
        <v>75.87</v>
      </c>
      <c r="AF191" s="13">
        <f t="shared" ref="AF191" si="243">SUM(AD191:AE191)</f>
        <v>211.23000000000002</v>
      </c>
      <c r="AH191" s="89">
        <f t="shared" si="201"/>
        <v>-0.3785460992907802</v>
      </c>
      <c r="AI191" s="89">
        <f t="shared" si="202"/>
        <v>-0.37854224331092667</v>
      </c>
      <c r="AJ191" s="89">
        <f t="shared" si="203"/>
        <v>-0.37854471429247738</v>
      </c>
    </row>
    <row r="192" spans="1:36" x14ac:dyDescent="0.3">
      <c r="A192" s="17" t="s">
        <v>388</v>
      </c>
      <c r="B192" s="11" t="s">
        <v>389</v>
      </c>
      <c r="C192" s="12">
        <f t="shared" si="236"/>
        <v>1</v>
      </c>
      <c r="D192" s="41" t="str">
        <f t="shared" si="237"/>
        <v>m²</v>
      </c>
      <c r="E192" s="41">
        <f>ROUND((X192*(1-$M$5))*(1+BDI!$C$21),2)</f>
        <v>195.29</v>
      </c>
      <c r="F192" s="41">
        <f>ROUND((Y192*(1-$N$5))*(1+BDI!$C$21),2)</f>
        <v>94.3</v>
      </c>
      <c r="G192" s="41">
        <f t="shared" si="238"/>
        <v>289.58999999999997</v>
      </c>
      <c r="H192" s="13">
        <f t="shared" si="239"/>
        <v>195.29</v>
      </c>
      <c r="I192" s="13">
        <f t="shared" si="240"/>
        <v>94.3</v>
      </c>
      <c r="J192" s="14">
        <f t="shared" si="241"/>
        <v>289.58999999999997</v>
      </c>
      <c r="M192" s="54"/>
      <c r="N192" s="56"/>
      <c r="V192" s="74">
        <v>1</v>
      </c>
      <c r="W192" s="74" t="s">
        <v>59</v>
      </c>
      <c r="X192" s="13">
        <v>243.97</v>
      </c>
      <c r="Y192" s="13">
        <v>117.8</v>
      </c>
      <c r="Z192" s="13">
        <f t="shared" ref="Z192" si="244">SUM(X192:Y192)</f>
        <v>361.77</v>
      </c>
      <c r="AB192" s="74">
        <v>1</v>
      </c>
      <c r="AC192" s="74" t="s">
        <v>59</v>
      </c>
      <c r="AD192" s="13">
        <v>314.27999999999997</v>
      </c>
      <c r="AE192" s="13">
        <v>151.75</v>
      </c>
      <c r="AF192" s="13">
        <f t="shared" ref="AF192" si="245">SUM(AD192:AE192)</f>
        <v>466.03</v>
      </c>
      <c r="AH192" s="89">
        <f t="shared" ref="AH192" si="246">IF(E192=0,0,(E192/AD192)-1)</f>
        <v>-0.3786114292987145</v>
      </c>
      <c r="AI192" s="89">
        <f t="shared" ref="AI192" si="247">IF(F192=0,0,(F192/AE192)-1)</f>
        <v>-0.37858319604612856</v>
      </c>
      <c r="AJ192" s="89">
        <f t="shared" ref="AJ192" si="248">IF(G192=0,0,(G192/AF192)-1)</f>
        <v>-0.37860223590755959</v>
      </c>
    </row>
    <row r="193" spans="1:36" x14ac:dyDescent="0.3">
      <c r="A193" s="17" t="s">
        <v>390</v>
      </c>
      <c r="B193" s="11" t="s">
        <v>391</v>
      </c>
      <c r="C193" s="12">
        <f t="shared" si="219"/>
        <v>1</v>
      </c>
      <c r="D193" s="41" t="str">
        <f t="shared" si="220"/>
        <v>un</v>
      </c>
      <c r="E193" s="41">
        <f>ROUND((X193*(1-$M$5))*(1+BDI!$C$21),2)</f>
        <v>779.27</v>
      </c>
      <c r="F193" s="41">
        <f>ROUND((Y193*(1-$N$5))*(1+BDI!$C$21),2)</f>
        <v>53.95</v>
      </c>
      <c r="G193" s="41">
        <f t="shared" si="225"/>
        <v>833.22</v>
      </c>
      <c r="H193" s="13">
        <f t="shared" si="221"/>
        <v>779.27</v>
      </c>
      <c r="I193" s="13">
        <f t="shared" si="222"/>
        <v>53.95</v>
      </c>
      <c r="J193" s="14">
        <f t="shared" si="226"/>
        <v>833.22</v>
      </c>
      <c r="M193" s="54"/>
      <c r="N193" s="56"/>
      <c r="V193" s="74">
        <v>1</v>
      </c>
      <c r="W193" s="74" t="s">
        <v>109</v>
      </c>
      <c r="X193" s="13">
        <v>973.5</v>
      </c>
      <c r="Y193" s="13">
        <v>67.400000000000006</v>
      </c>
      <c r="Z193" s="13">
        <f t="shared" si="223"/>
        <v>1040.9000000000001</v>
      </c>
      <c r="AB193" s="74">
        <v>1</v>
      </c>
      <c r="AC193" s="74" t="s">
        <v>109</v>
      </c>
      <c r="AD193" s="13">
        <v>1254.06</v>
      </c>
      <c r="AE193" s="13">
        <v>86.82</v>
      </c>
      <c r="AF193" s="13">
        <f t="shared" ref="AF193:AF194" si="249">SUM(AD193:AE193)</f>
        <v>1340.8799999999999</v>
      </c>
      <c r="AH193" s="89">
        <f t="shared" si="201"/>
        <v>-0.37860229973047543</v>
      </c>
      <c r="AI193" s="89">
        <f t="shared" si="202"/>
        <v>-0.37859940105966361</v>
      </c>
      <c r="AJ193" s="89">
        <f t="shared" si="203"/>
        <v>-0.37860211204582062</v>
      </c>
    </row>
    <row r="194" spans="1:36" x14ac:dyDescent="0.3">
      <c r="A194" s="17" t="s">
        <v>1014</v>
      </c>
      <c r="B194" s="11" t="s">
        <v>1036</v>
      </c>
      <c r="C194" s="12">
        <f t="shared" si="219"/>
        <v>1</v>
      </c>
      <c r="D194" s="41" t="str">
        <f t="shared" si="220"/>
        <v>m</v>
      </c>
      <c r="E194" s="41">
        <f>ROUND((X194*(1-$M$5))*(1+BDI!$C$21),2)</f>
        <v>89.46</v>
      </c>
      <c r="F194" s="41">
        <f>ROUND((Y194*(1-$N$5))*(1+BDI!$C$21),2)</f>
        <v>78.180000000000007</v>
      </c>
      <c r="G194" s="41">
        <f t="shared" si="225"/>
        <v>167.64</v>
      </c>
      <c r="H194" s="13">
        <f t="shared" si="221"/>
        <v>89.46</v>
      </c>
      <c r="I194" s="13">
        <f t="shared" si="222"/>
        <v>78.180000000000007</v>
      </c>
      <c r="J194" s="14">
        <f t="shared" si="226"/>
        <v>167.64</v>
      </c>
      <c r="M194" s="54"/>
      <c r="N194" s="56"/>
      <c r="V194" s="74">
        <v>1</v>
      </c>
      <c r="W194" s="74" t="s">
        <v>75</v>
      </c>
      <c r="X194" s="13">
        <v>111.76</v>
      </c>
      <c r="Y194" s="13">
        <v>97.67</v>
      </c>
      <c r="Z194" s="13">
        <f t="shared" si="223"/>
        <v>209.43</v>
      </c>
      <c r="AB194" s="74">
        <v>1</v>
      </c>
      <c r="AC194" s="74" t="s">
        <v>75</v>
      </c>
      <c r="AD194" s="13">
        <v>143.97</v>
      </c>
      <c r="AE194" s="13">
        <v>125.82</v>
      </c>
      <c r="AF194" s="13">
        <f t="shared" si="249"/>
        <v>269.78999999999996</v>
      </c>
      <c r="AH194" s="89">
        <f t="shared" si="201"/>
        <v>-0.3786205459470724</v>
      </c>
      <c r="AI194" s="89">
        <f t="shared" si="202"/>
        <v>-0.37863614687649016</v>
      </c>
      <c r="AJ194" s="89">
        <f t="shared" si="203"/>
        <v>-0.37862782163905251</v>
      </c>
    </row>
    <row r="195" spans="1:36" x14ac:dyDescent="0.3">
      <c r="A195" s="15">
        <v>15</v>
      </c>
      <c r="B195" s="16" t="s">
        <v>392</v>
      </c>
      <c r="C195" s="76"/>
      <c r="D195" s="58"/>
      <c r="E195" s="58"/>
      <c r="F195" s="58"/>
      <c r="G195" s="58"/>
      <c r="H195" s="24">
        <f t="shared" ref="H195:I195" si="250">SUM(H196:H213)</f>
        <v>209061.71999999994</v>
      </c>
      <c r="I195" s="24">
        <f t="shared" si="250"/>
        <v>72783.530000000042</v>
      </c>
      <c r="J195" s="24">
        <f>SUM(J196:J213)</f>
        <v>281845.24999999994</v>
      </c>
      <c r="M195" s="54"/>
      <c r="N195" s="56"/>
      <c r="V195" s="75"/>
      <c r="W195" s="75"/>
      <c r="X195" s="23"/>
      <c r="Y195" s="23"/>
      <c r="Z195" s="23"/>
      <c r="AB195" s="75"/>
      <c r="AC195" s="75"/>
      <c r="AD195" s="23"/>
      <c r="AE195" s="23"/>
      <c r="AF195" s="23"/>
      <c r="AH195" s="89">
        <f t="shared" si="201"/>
        <v>0</v>
      </c>
      <c r="AI195" s="89">
        <f t="shared" si="202"/>
        <v>0</v>
      </c>
      <c r="AJ195" s="89">
        <f t="shared" si="203"/>
        <v>0</v>
      </c>
    </row>
    <row r="196" spans="1:36" ht="28.8" x14ac:dyDescent="0.3">
      <c r="A196" s="17" t="s">
        <v>393</v>
      </c>
      <c r="B196" s="11" t="s">
        <v>394</v>
      </c>
      <c r="C196" s="12">
        <f t="shared" ref="C196:C213" si="251">V196</f>
        <v>145</v>
      </c>
      <c r="D196" s="41" t="str">
        <f t="shared" ref="D196:D213" si="252">W196</f>
        <v>cj</v>
      </c>
      <c r="E196" s="41">
        <f>ROUND((X196*(1-$M$5))*(1+BDI!$C$21),2)</f>
        <v>143.91</v>
      </c>
      <c r="F196" s="41">
        <f>ROUND((Y196*(1-$N$5))*(1+BDI!$C$21),2)</f>
        <v>313.86</v>
      </c>
      <c r="G196" s="41">
        <f t="shared" si="225"/>
        <v>457.77</v>
      </c>
      <c r="H196" s="13">
        <f t="shared" ref="H196:H213" si="253">C196*E196</f>
        <v>20866.95</v>
      </c>
      <c r="I196" s="13">
        <f t="shared" ref="I196:I213" si="254">C196*F196</f>
        <v>45509.700000000004</v>
      </c>
      <c r="J196" s="14">
        <f t="shared" si="226"/>
        <v>66376.649999999994</v>
      </c>
      <c r="M196" s="54"/>
      <c r="N196" s="56"/>
      <c r="V196" s="74">
        <v>145</v>
      </c>
      <c r="W196" s="74" t="s">
        <v>395</v>
      </c>
      <c r="X196" s="13">
        <v>179.78</v>
      </c>
      <c r="Y196" s="13">
        <v>392.09</v>
      </c>
      <c r="Z196" s="13">
        <f t="shared" ref="Z196:Z213" si="255">SUM(X196:Y196)</f>
        <v>571.87</v>
      </c>
      <c r="AB196" s="74">
        <v>145</v>
      </c>
      <c r="AC196" s="74" t="s">
        <v>395</v>
      </c>
      <c r="AD196" s="13">
        <v>231.59</v>
      </c>
      <c r="AE196" s="13">
        <v>505.09</v>
      </c>
      <c r="AF196" s="13">
        <f t="shared" ref="AF196:AF208" si="256">SUM(AD196:AE196)</f>
        <v>736.68</v>
      </c>
      <c r="AH196" s="89">
        <f t="shared" si="201"/>
        <v>-0.37860011226736912</v>
      </c>
      <c r="AI196" s="89">
        <f t="shared" si="202"/>
        <v>-0.37860579302698527</v>
      </c>
      <c r="AJ196" s="89">
        <f t="shared" si="203"/>
        <v>-0.37860400716729103</v>
      </c>
    </row>
    <row r="197" spans="1:36" x14ac:dyDescent="0.3">
      <c r="A197" s="17" t="s">
        <v>396</v>
      </c>
      <c r="B197" s="11" t="s">
        <v>397</v>
      </c>
      <c r="C197" s="12">
        <f t="shared" si="251"/>
        <v>108</v>
      </c>
      <c r="D197" s="41" t="str">
        <f t="shared" si="252"/>
        <v>cj</v>
      </c>
      <c r="E197" s="41">
        <f>ROUND((X197*(1-$M$5))*(1+BDI!$C$21),2)</f>
        <v>36.74</v>
      </c>
      <c r="F197" s="41">
        <f>ROUND((Y197*(1-$N$5))*(1+BDI!$C$21),2)</f>
        <v>34.950000000000003</v>
      </c>
      <c r="G197" s="41">
        <f t="shared" si="225"/>
        <v>71.69</v>
      </c>
      <c r="H197" s="13">
        <f t="shared" si="253"/>
        <v>3967.92</v>
      </c>
      <c r="I197" s="13">
        <f t="shared" si="254"/>
        <v>3774.6000000000004</v>
      </c>
      <c r="J197" s="14">
        <f t="shared" si="226"/>
        <v>7742.5199999999995</v>
      </c>
      <c r="M197" s="54"/>
      <c r="N197" s="56"/>
      <c r="V197" s="74">
        <v>108</v>
      </c>
      <c r="W197" s="74" t="s">
        <v>395</v>
      </c>
      <c r="X197" s="13">
        <v>45.9</v>
      </c>
      <c r="Y197" s="13">
        <v>43.66</v>
      </c>
      <c r="Z197" s="13">
        <f t="shared" si="255"/>
        <v>89.56</v>
      </c>
      <c r="AB197" s="74">
        <v>108</v>
      </c>
      <c r="AC197" s="74" t="s">
        <v>395</v>
      </c>
      <c r="AD197" s="13">
        <v>59.13</v>
      </c>
      <c r="AE197" s="13">
        <v>56.24</v>
      </c>
      <c r="AF197" s="13">
        <f t="shared" si="256"/>
        <v>115.37</v>
      </c>
      <c r="AH197" s="89">
        <f t="shared" si="201"/>
        <v>-0.37865719600879422</v>
      </c>
      <c r="AI197" s="89">
        <f t="shared" si="202"/>
        <v>-0.37855618776671407</v>
      </c>
      <c r="AJ197" s="89">
        <f t="shared" si="203"/>
        <v>-0.37860795700788774</v>
      </c>
    </row>
    <row r="198" spans="1:36" x14ac:dyDescent="0.3">
      <c r="A198" s="17" t="s">
        <v>398</v>
      </c>
      <c r="B198" s="11" t="s">
        <v>399</v>
      </c>
      <c r="C198" s="12">
        <f t="shared" si="251"/>
        <v>135</v>
      </c>
      <c r="D198" s="41" t="str">
        <f t="shared" si="252"/>
        <v>cj</v>
      </c>
      <c r="E198" s="41">
        <f>ROUND((X198*(1-$M$5))*(1+BDI!$C$21),2)</f>
        <v>123.53</v>
      </c>
      <c r="F198" s="41">
        <f>ROUND((Y198*(1-$N$5))*(1+BDI!$C$21),2)</f>
        <v>35.01</v>
      </c>
      <c r="G198" s="41">
        <f t="shared" si="225"/>
        <v>158.54</v>
      </c>
      <c r="H198" s="13">
        <f t="shared" si="253"/>
        <v>16676.55</v>
      </c>
      <c r="I198" s="13">
        <f t="shared" si="254"/>
        <v>4726.3499999999995</v>
      </c>
      <c r="J198" s="14">
        <f t="shared" si="226"/>
        <v>21402.899999999998</v>
      </c>
      <c r="M198" s="54"/>
      <c r="N198" s="56"/>
      <c r="V198" s="74">
        <v>135</v>
      </c>
      <c r="W198" s="74" t="s">
        <v>395</v>
      </c>
      <c r="X198" s="13">
        <v>154.32</v>
      </c>
      <c r="Y198" s="13">
        <v>43.73</v>
      </c>
      <c r="Z198" s="13">
        <f t="shared" si="255"/>
        <v>198.04999999999998</v>
      </c>
      <c r="AB198" s="74">
        <v>135</v>
      </c>
      <c r="AC198" s="74" t="s">
        <v>395</v>
      </c>
      <c r="AD198" s="13">
        <v>198.8</v>
      </c>
      <c r="AE198" s="13">
        <v>56.33</v>
      </c>
      <c r="AF198" s="13">
        <f t="shared" si="256"/>
        <v>255.13</v>
      </c>
      <c r="AH198" s="89">
        <f t="shared" si="201"/>
        <v>-0.37862173038229374</v>
      </c>
      <c r="AI198" s="89">
        <f t="shared" si="202"/>
        <v>-0.37848393396058944</v>
      </c>
      <c r="AJ198" s="89">
        <f t="shared" si="203"/>
        <v>-0.37859130639281935</v>
      </c>
    </row>
    <row r="199" spans="1:36" x14ac:dyDescent="0.3">
      <c r="A199" s="17" t="s">
        <v>400</v>
      </c>
      <c r="B199" s="11" t="s">
        <v>401</v>
      </c>
      <c r="C199" s="12">
        <f t="shared" si="251"/>
        <v>43</v>
      </c>
      <c r="D199" s="41" t="str">
        <f t="shared" si="252"/>
        <v>un</v>
      </c>
      <c r="E199" s="41">
        <f>ROUND((X199*(1-$M$5))*(1+BDI!$C$21),2)</f>
        <v>25.53</v>
      </c>
      <c r="F199" s="41">
        <f>ROUND((Y199*(1-$N$5))*(1+BDI!$C$21),2)</f>
        <v>21.81</v>
      </c>
      <c r="G199" s="41">
        <f t="shared" si="225"/>
        <v>47.34</v>
      </c>
      <c r="H199" s="13">
        <f t="shared" si="253"/>
        <v>1097.79</v>
      </c>
      <c r="I199" s="13">
        <f t="shared" si="254"/>
        <v>937.82999999999993</v>
      </c>
      <c r="J199" s="14">
        <f t="shared" si="226"/>
        <v>2035.6200000000001</v>
      </c>
      <c r="M199" s="54"/>
      <c r="N199" s="56"/>
      <c r="V199" s="74">
        <v>43</v>
      </c>
      <c r="W199" s="74" t="s">
        <v>109</v>
      </c>
      <c r="X199" s="13">
        <v>31.89</v>
      </c>
      <c r="Y199" s="13">
        <v>27.25</v>
      </c>
      <c r="Z199" s="13">
        <f t="shared" si="255"/>
        <v>59.14</v>
      </c>
      <c r="AB199" s="74">
        <v>43</v>
      </c>
      <c r="AC199" s="74" t="s">
        <v>109</v>
      </c>
      <c r="AD199" s="13">
        <v>41.08</v>
      </c>
      <c r="AE199" s="13">
        <v>35.1</v>
      </c>
      <c r="AF199" s="13">
        <f t="shared" si="256"/>
        <v>76.180000000000007</v>
      </c>
      <c r="AH199" s="89">
        <f t="shared" si="201"/>
        <v>-0.3785296981499513</v>
      </c>
      <c r="AI199" s="89">
        <f t="shared" si="202"/>
        <v>-0.37863247863247873</v>
      </c>
      <c r="AJ199" s="89">
        <f t="shared" si="203"/>
        <v>-0.37857705434497246</v>
      </c>
    </row>
    <row r="200" spans="1:36" x14ac:dyDescent="0.3">
      <c r="A200" s="17" t="s">
        <v>402</v>
      </c>
      <c r="B200" s="11" t="s">
        <v>403</v>
      </c>
      <c r="C200" s="12">
        <f t="shared" si="251"/>
        <v>61</v>
      </c>
      <c r="D200" s="41" t="str">
        <f t="shared" si="252"/>
        <v>un</v>
      </c>
      <c r="E200" s="41">
        <f>ROUND((X200*(1-$M$5))*(1+BDI!$C$21),2)</f>
        <v>128.78</v>
      </c>
      <c r="F200" s="41">
        <f>ROUND((Y200*(1-$N$5))*(1+BDI!$C$21),2)</f>
        <v>22.06</v>
      </c>
      <c r="G200" s="41">
        <f t="shared" si="225"/>
        <v>150.84</v>
      </c>
      <c r="H200" s="13">
        <f t="shared" si="253"/>
        <v>7855.58</v>
      </c>
      <c r="I200" s="13">
        <f t="shared" si="254"/>
        <v>1345.6599999999999</v>
      </c>
      <c r="J200" s="14">
        <f t="shared" si="226"/>
        <v>9201.24</v>
      </c>
      <c r="M200" s="54"/>
      <c r="N200" s="56"/>
      <c r="V200" s="74">
        <v>61</v>
      </c>
      <c r="W200" s="74" t="s">
        <v>109</v>
      </c>
      <c r="X200" s="13">
        <v>160.88</v>
      </c>
      <c r="Y200" s="13">
        <v>27.56</v>
      </c>
      <c r="Z200" s="13">
        <f t="shared" si="255"/>
        <v>188.44</v>
      </c>
      <c r="AB200" s="74">
        <v>61</v>
      </c>
      <c r="AC200" s="74" t="s">
        <v>109</v>
      </c>
      <c r="AD200" s="13">
        <v>207.25</v>
      </c>
      <c r="AE200" s="13">
        <v>35.5</v>
      </c>
      <c r="AF200" s="13">
        <f t="shared" si="256"/>
        <v>242.75</v>
      </c>
      <c r="AH200" s="89">
        <f t="shared" si="201"/>
        <v>-0.37862484921592277</v>
      </c>
      <c r="AI200" s="89">
        <f t="shared" si="202"/>
        <v>-0.37859154929577465</v>
      </c>
      <c r="AJ200" s="89">
        <f t="shared" si="203"/>
        <v>-0.37861997940267766</v>
      </c>
    </row>
    <row r="201" spans="1:36" ht="28.8" x14ac:dyDescent="0.3">
      <c r="A201" s="17" t="s">
        <v>404</v>
      </c>
      <c r="B201" s="11" t="s">
        <v>405</v>
      </c>
      <c r="C201" s="12">
        <f t="shared" si="251"/>
        <v>158</v>
      </c>
      <c r="D201" s="41" t="str">
        <f t="shared" si="252"/>
        <v>un</v>
      </c>
      <c r="E201" s="41">
        <f>ROUND((X201*(1-$M$5))*(1+BDI!$C$21),2)</f>
        <v>775.54</v>
      </c>
      <c r="F201" s="41">
        <f>ROUND((Y201*(1-$N$5))*(1+BDI!$C$21),2)</f>
        <v>22.06</v>
      </c>
      <c r="G201" s="41">
        <f t="shared" si="225"/>
        <v>797.59999999999991</v>
      </c>
      <c r="H201" s="13">
        <f t="shared" si="253"/>
        <v>122535.31999999999</v>
      </c>
      <c r="I201" s="13">
        <f t="shared" si="254"/>
        <v>3485.48</v>
      </c>
      <c r="J201" s="14">
        <f t="shared" si="226"/>
        <v>126020.79999999999</v>
      </c>
      <c r="M201" s="54"/>
      <c r="N201" s="56"/>
      <c r="V201" s="74">
        <v>158</v>
      </c>
      <c r="W201" s="74" t="s">
        <v>109</v>
      </c>
      <c r="X201" s="13">
        <v>968.84</v>
      </c>
      <c r="Y201" s="13">
        <v>27.56</v>
      </c>
      <c r="Z201" s="13">
        <f t="shared" si="255"/>
        <v>996.4</v>
      </c>
      <c r="AB201" s="74">
        <v>158</v>
      </c>
      <c r="AC201" s="74" t="s">
        <v>109</v>
      </c>
      <c r="AD201" s="13">
        <v>1248.06</v>
      </c>
      <c r="AE201" s="13">
        <v>35.5</v>
      </c>
      <c r="AF201" s="13">
        <f t="shared" si="256"/>
        <v>1283.56</v>
      </c>
      <c r="AH201" s="89">
        <f t="shared" si="201"/>
        <v>-0.37860359277598832</v>
      </c>
      <c r="AI201" s="89">
        <f t="shared" si="202"/>
        <v>-0.37859154929577465</v>
      </c>
      <c r="AJ201" s="89">
        <f t="shared" si="203"/>
        <v>-0.37860325968400388</v>
      </c>
    </row>
    <row r="202" spans="1:36" x14ac:dyDescent="0.3">
      <c r="A202" s="17" t="s">
        <v>406</v>
      </c>
      <c r="B202" s="11" t="s">
        <v>407</v>
      </c>
      <c r="C202" s="12">
        <f t="shared" si="251"/>
        <v>276</v>
      </c>
      <c r="D202" s="41" t="str">
        <f t="shared" si="252"/>
        <v>un</v>
      </c>
      <c r="E202" s="41">
        <f>ROUND((X202*(1-$M$5))*(1+BDI!$C$21),2)</f>
        <v>1.77</v>
      </c>
      <c r="F202" s="41">
        <f>ROUND((Y202*(1-$N$5))*(1+BDI!$C$21),2)</f>
        <v>22.06</v>
      </c>
      <c r="G202" s="41">
        <f t="shared" si="225"/>
        <v>23.83</v>
      </c>
      <c r="H202" s="13">
        <f t="shared" si="253"/>
        <v>488.52</v>
      </c>
      <c r="I202" s="13">
        <f t="shared" si="254"/>
        <v>6088.5599999999995</v>
      </c>
      <c r="J202" s="14">
        <f t="shared" si="226"/>
        <v>6577.08</v>
      </c>
      <c r="M202" s="54"/>
      <c r="N202" s="56"/>
      <c r="V202" s="74">
        <v>276</v>
      </c>
      <c r="W202" s="74" t="s">
        <v>109</v>
      </c>
      <c r="X202" s="13">
        <v>2.21</v>
      </c>
      <c r="Y202" s="13">
        <v>27.56</v>
      </c>
      <c r="Z202" s="13">
        <f t="shared" si="255"/>
        <v>29.77</v>
      </c>
      <c r="AB202" s="74">
        <v>276</v>
      </c>
      <c r="AC202" s="74" t="s">
        <v>109</v>
      </c>
      <c r="AD202" s="13">
        <v>2.85</v>
      </c>
      <c r="AE202" s="13">
        <v>35.5</v>
      </c>
      <c r="AF202" s="13">
        <f t="shared" si="256"/>
        <v>38.35</v>
      </c>
      <c r="AH202" s="89">
        <f t="shared" si="201"/>
        <v>-0.3789473684210527</v>
      </c>
      <c r="AI202" s="89">
        <f t="shared" si="202"/>
        <v>-0.37859154929577465</v>
      </c>
      <c r="AJ202" s="89">
        <f t="shared" si="203"/>
        <v>-0.37861799217731429</v>
      </c>
    </row>
    <row r="203" spans="1:36" x14ac:dyDescent="0.3">
      <c r="A203" s="17" t="s">
        <v>408</v>
      </c>
      <c r="B203" s="11" t="s">
        <v>409</v>
      </c>
      <c r="C203" s="12">
        <f t="shared" si="251"/>
        <v>56</v>
      </c>
      <c r="D203" s="41" t="str">
        <f t="shared" si="252"/>
        <v>un</v>
      </c>
      <c r="E203" s="41">
        <f>ROUND((X203*(1-$M$5))*(1+BDI!$C$21),2)</f>
        <v>102.03</v>
      </c>
      <c r="F203" s="41">
        <f>ROUND((Y203*(1-$N$5))*(1+BDI!$C$21),2)</f>
        <v>8.42</v>
      </c>
      <c r="G203" s="41">
        <f t="shared" si="225"/>
        <v>110.45</v>
      </c>
      <c r="H203" s="13">
        <f t="shared" si="253"/>
        <v>5713.68</v>
      </c>
      <c r="I203" s="13">
        <f t="shared" si="254"/>
        <v>471.52</v>
      </c>
      <c r="J203" s="14">
        <f t="shared" si="226"/>
        <v>6185.2</v>
      </c>
      <c r="M203" s="54"/>
      <c r="N203" s="56"/>
      <c r="V203" s="74">
        <v>56</v>
      </c>
      <c r="W203" s="74" t="s">
        <v>109</v>
      </c>
      <c r="X203" s="13">
        <v>127.46</v>
      </c>
      <c r="Y203" s="13">
        <v>10.52</v>
      </c>
      <c r="Z203" s="13">
        <f t="shared" si="255"/>
        <v>137.97999999999999</v>
      </c>
      <c r="AB203" s="74">
        <v>56</v>
      </c>
      <c r="AC203" s="74" t="s">
        <v>109</v>
      </c>
      <c r="AD203" s="13">
        <v>164.19</v>
      </c>
      <c r="AE203" s="13">
        <v>13.55</v>
      </c>
      <c r="AF203" s="13">
        <f t="shared" si="256"/>
        <v>177.74</v>
      </c>
      <c r="AH203" s="89">
        <f t="shared" si="201"/>
        <v>-0.37858578476155669</v>
      </c>
      <c r="AI203" s="89">
        <f t="shared" si="202"/>
        <v>-0.37859778597785987</v>
      </c>
      <c r="AJ203" s="89">
        <f t="shared" si="203"/>
        <v>-0.37858669967368064</v>
      </c>
    </row>
    <row r="204" spans="1:36" x14ac:dyDescent="0.3">
      <c r="A204" s="17" t="s">
        <v>410</v>
      </c>
      <c r="B204" s="11" t="s">
        <v>411</v>
      </c>
      <c r="C204" s="12">
        <f t="shared" si="251"/>
        <v>41</v>
      </c>
      <c r="D204" s="41" t="str">
        <f t="shared" si="252"/>
        <v>un</v>
      </c>
      <c r="E204" s="41">
        <f>ROUND((X204*(1-$M$5))*(1+BDI!$C$21),2)</f>
        <v>50.42</v>
      </c>
      <c r="F204" s="41">
        <f>ROUND((Y204*(1-$N$5))*(1+BDI!$C$21),2)</f>
        <v>23.3</v>
      </c>
      <c r="G204" s="41">
        <f t="shared" si="225"/>
        <v>73.72</v>
      </c>
      <c r="H204" s="13">
        <f t="shared" si="253"/>
        <v>2067.2200000000003</v>
      </c>
      <c r="I204" s="13">
        <f t="shared" si="254"/>
        <v>955.30000000000007</v>
      </c>
      <c r="J204" s="14">
        <f t="shared" si="226"/>
        <v>3022.52</v>
      </c>
      <c r="M204" s="54"/>
      <c r="N204" s="55"/>
      <c r="V204" s="74">
        <v>41</v>
      </c>
      <c r="W204" s="74" t="s">
        <v>109</v>
      </c>
      <c r="X204" s="13">
        <v>62.99</v>
      </c>
      <c r="Y204" s="13">
        <v>29.11</v>
      </c>
      <c r="Z204" s="13">
        <f t="shared" si="255"/>
        <v>92.1</v>
      </c>
      <c r="AB204" s="74">
        <v>41</v>
      </c>
      <c r="AC204" s="74" t="s">
        <v>109</v>
      </c>
      <c r="AD204" s="13">
        <v>81.14</v>
      </c>
      <c r="AE204" s="13">
        <v>37.5</v>
      </c>
      <c r="AF204" s="13">
        <f t="shared" si="256"/>
        <v>118.64</v>
      </c>
      <c r="AH204" s="89">
        <f t="shared" si="201"/>
        <v>-0.37860488045353713</v>
      </c>
      <c r="AI204" s="89">
        <f t="shared" si="202"/>
        <v>-0.3786666666666666</v>
      </c>
      <c r="AJ204" s="89">
        <f t="shared" si="203"/>
        <v>-0.37862440997977076</v>
      </c>
    </row>
    <row r="205" spans="1:36" x14ac:dyDescent="0.3">
      <c r="A205" s="17" t="s">
        <v>412</v>
      </c>
      <c r="B205" s="11" t="s">
        <v>413</v>
      </c>
      <c r="C205" s="12">
        <f t="shared" si="251"/>
        <v>74</v>
      </c>
      <c r="D205" s="41" t="str">
        <f t="shared" si="252"/>
        <v>m</v>
      </c>
      <c r="E205" s="41">
        <f>ROUND((X205*(1-$M$5))*(1+BDI!$C$21),2)</f>
        <v>55.67</v>
      </c>
      <c r="F205" s="41">
        <f>ROUND((Y205*(1-$N$5))*(1+BDI!$C$21),2)</f>
        <v>15.73</v>
      </c>
      <c r="G205" s="41">
        <f t="shared" si="225"/>
        <v>71.400000000000006</v>
      </c>
      <c r="H205" s="13">
        <f t="shared" si="253"/>
        <v>4119.58</v>
      </c>
      <c r="I205" s="13">
        <f t="shared" si="254"/>
        <v>1164.02</v>
      </c>
      <c r="J205" s="14">
        <f t="shared" si="226"/>
        <v>5283.6</v>
      </c>
      <c r="M205" s="54"/>
      <c r="N205" s="56"/>
      <c r="V205" s="74">
        <v>74</v>
      </c>
      <c r="W205" s="74" t="s">
        <v>75</v>
      </c>
      <c r="X205" s="13">
        <v>69.540000000000006</v>
      </c>
      <c r="Y205" s="13">
        <v>19.649999999999999</v>
      </c>
      <c r="Z205" s="13">
        <f t="shared" si="255"/>
        <v>89.19</v>
      </c>
      <c r="AB205" s="74">
        <v>74</v>
      </c>
      <c r="AC205" s="74" t="s">
        <v>75</v>
      </c>
      <c r="AD205" s="13">
        <v>89.58</v>
      </c>
      <c r="AE205" s="13">
        <v>25.31</v>
      </c>
      <c r="AF205" s="13">
        <f t="shared" si="256"/>
        <v>114.89</v>
      </c>
      <c r="AH205" s="89">
        <f t="shared" si="201"/>
        <v>-0.37854431792810894</v>
      </c>
      <c r="AI205" s="89">
        <f t="shared" si="202"/>
        <v>-0.37850651916238631</v>
      </c>
      <c r="AJ205" s="89">
        <f t="shared" si="203"/>
        <v>-0.37853599094786317</v>
      </c>
    </row>
    <row r="206" spans="1:36" x14ac:dyDescent="0.3">
      <c r="A206" s="17" t="s">
        <v>414</v>
      </c>
      <c r="B206" s="11" t="s">
        <v>415</v>
      </c>
      <c r="C206" s="12">
        <f t="shared" si="251"/>
        <v>23</v>
      </c>
      <c r="D206" s="41" t="str">
        <f t="shared" si="252"/>
        <v>un</v>
      </c>
      <c r="E206" s="41">
        <f>ROUND((X206*(1-$M$5))*(1+BDI!$C$21),2)</f>
        <v>42.49</v>
      </c>
      <c r="F206" s="41">
        <f>ROUND((Y206*(1-$N$5))*(1+BDI!$C$21),2)</f>
        <v>12.59</v>
      </c>
      <c r="G206" s="41">
        <f t="shared" si="225"/>
        <v>55.08</v>
      </c>
      <c r="H206" s="13">
        <f t="shared" si="253"/>
        <v>977.2700000000001</v>
      </c>
      <c r="I206" s="13">
        <f t="shared" si="254"/>
        <v>289.57</v>
      </c>
      <c r="J206" s="14">
        <f t="shared" si="226"/>
        <v>1266.8399999999999</v>
      </c>
      <c r="M206" s="54"/>
      <c r="N206" s="56"/>
      <c r="V206" s="74">
        <v>23</v>
      </c>
      <c r="W206" s="74" t="s">
        <v>109</v>
      </c>
      <c r="X206" s="13">
        <v>53.08</v>
      </c>
      <c r="Y206" s="13">
        <v>15.73</v>
      </c>
      <c r="Z206" s="13">
        <f t="shared" si="255"/>
        <v>68.81</v>
      </c>
      <c r="AB206" s="74">
        <v>23</v>
      </c>
      <c r="AC206" s="74" t="s">
        <v>109</v>
      </c>
      <c r="AD206" s="13">
        <v>68.38</v>
      </c>
      <c r="AE206" s="13">
        <v>20.260000000000002</v>
      </c>
      <c r="AF206" s="13">
        <f t="shared" si="256"/>
        <v>88.64</v>
      </c>
      <c r="AH206" s="89">
        <f t="shared" si="201"/>
        <v>-0.37861947937993556</v>
      </c>
      <c r="AI206" s="89">
        <f t="shared" si="202"/>
        <v>-0.37857847976308001</v>
      </c>
      <c r="AJ206" s="89">
        <f t="shared" si="203"/>
        <v>-0.37861010830324915</v>
      </c>
    </row>
    <row r="207" spans="1:36" x14ac:dyDescent="0.3">
      <c r="A207" s="17" t="s">
        <v>416</v>
      </c>
      <c r="B207" s="11" t="s">
        <v>417</v>
      </c>
      <c r="C207" s="12">
        <f t="shared" si="251"/>
        <v>35</v>
      </c>
      <c r="D207" s="41" t="str">
        <f t="shared" si="252"/>
        <v>un</v>
      </c>
      <c r="E207" s="41">
        <f>ROUND((X207*(1-$M$5))*(1+BDI!$C$21),2)</f>
        <v>81.39</v>
      </c>
      <c r="F207" s="41">
        <f>ROUND((Y207*(1-$N$5))*(1+BDI!$C$21),2)</f>
        <v>13.98</v>
      </c>
      <c r="G207" s="41">
        <f t="shared" si="225"/>
        <v>95.37</v>
      </c>
      <c r="H207" s="13">
        <f t="shared" si="253"/>
        <v>2848.65</v>
      </c>
      <c r="I207" s="13">
        <f t="shared" si="254"/>
        <v>489.3</v>
      </c>
      <c r="J207" s="14">
        <f t="shared" si="226"/>
        <v>3337.9500000000003</v>
      </c>
      <c r="M207" s="54"/>
      <c r="N207" s="56"/>
      <c r="V207" s="74">
        <v>35</v>
      </c>
      <c r="W207" s="74" t="s">
        <v>109</v>
      </c>
      <c r="X207" s="13">
        <v>101.67</v>
      </c>
      <c r="Y207" s="13">
        <v>17.46</v>
      </c>
      <c r="Z207" s="13">
        <f t="shared" si="255"/>
        <v>119.13</v>
      </c>
      <c r="AB207" s="74">
        <v>35</v>
      </c>
      <c r="AC207" s="74" t="s">
        <v>109</v>
      </c>
      <c r="AD207" s="13">
        <v>130.97</v>
      </c>
      <c r="AE207" s="13">
        <v>22.49</v>
      </c>
      <c r="AF207" s="13">
        <f t="shared" si="256"/>
        <v>153.46</v>
      </c>
      <c r="AH207" s="89">
        <f t="shared" si="201"/>
        <v>-0.37855997556692367</v>
      </c>
      <c r="AI207" s="89">
        <f t="shared" si="202"/>
        <v>-0.37839039573143618</v>
      </c>
      <c r="AJ207" s="89">
        <f t="shared" si="203"/>
        <v>-0.37853512315912941</v>
      </c>
    </row>
    <row r="208" spans="1:36" x14ac:dyDescent="0.3">
      <c r="A208" s="17" t="s">
        <v>418</v>
      </c>
      <c r="B208" s="11" t="s">
        <v>419</v>
      </c>
      <c r="C208" s="12">
        <f t="shared" si="251"/>
        <v>66</v>
      </c>
      <c r="D208" s="41" t="str">
        <f t="shared" si="252"/>
        <v>un</v>
      </c>
      <c r="E208" s="41">
        <f>ROUND((X208*(1-$M$5))*(1+BDI!$C$21),2)</f>
        <v>180.89</v>
      </c>
      <c r="F208" s="41">
        <f>ROUND((Y208*(1-$N$5))*(1+BDI!$C$21),2)</f>
        <v>20.97</v>
      </c>
      <c r="G208" s="41">
        <f t="shared" si="225"/>
        <v>201.85999999999999</v>
      </c>
      <c r="H208" s="13">
        <f t="shared" si="253"/>
        <v>11938.74</v>
      </c>
      <c r="I208" s="13">
        <f t="shared" si="254"/>
        <v>1384.02</v>
      </c>
      <c r="J208" s="14">
        <f t="shared" si="226"/>
        <v>13322.759999999998</v>
      </c>
      <c r="M208" s="54"/>
      <c r="N208" s="56"/>
      <c r="V208" s="74">
        <v>66</v>
      </c>
      <c r="W208" s="74" t="s">
        <v>109</v>
      </c>
      <c r="X208" s="13">
        <v>225.97</v>
      </c>
      <c r="Y208" s="13">
        <v>26.2</v>
      </c>
      <c r="Z208" s="13">
        <f t="shared" si="255"/>
        <v>252.17</v>
      </c>
      <c r="AB208" s="74">
        <v>66</v>
      </c>
      <c r="AC208" s="74" t="s">
        <v>109</v>
      </c>
      <c r="AD208" s="13">
        <v>291.08999999999997</v>
      </c>
      <c r="AE208" s="13">
        <v>33.75</v>
      </c>
      <c r="AF208" s="13">
        <f t="shared" si="256"/>
        <v>324.83999999999997</v>
      </c>
      <c r="AH208" s="89">
        <f t="shared" si="201"/>
        <v>-0.37857707238311178</v>
      </c>
      <c r="AI208" s="89">
        <f t="shared" si="202"/>
        <v>-0.37866666666666671</v>
      </c>
      <c r="AJ208" s="89">
        <f t="shared" si="203"/>
        <v>-0.37858638098756314</v>
      </c>
    </row>
    <row r="209" spans="1:36" x14ac:dyDescent="0.3">
      <c r="A209" s="17" t="s">
        <v>420</v>
      </c>
      <c r="B209" s="11" t="s">
        <v>421</v>
      </c>
      <c r="C209" s="12">
        <f t="shared" ref="C209" si="257">V209</f>
        <v>28</v>
      </c>
      <c r="D209" s="41" t="str">
        <f t="shared" ref="D209" si="258">W209</f>
        <v>un</v>
      </c>
      <c r="E209" s="41">
        <f>ROUND((X209*(1-$M$5))*(1+BDI!$C$21),2)</f>
        <v>127.7</v>
      </c>
      <c r="F209" s="41">
        <f>ROUND((Y209*(1-$N$5))*(1+BDI!$C$21),2)</f>
        <v>20.97</v>
      </c>
      <c r="G209" s="41">
        <f t="shared" si="225"/>
        <v>148.67000000000002</v>
      </c>
      <c r="H209" s="13">
        <f t="shared" si="253"/>
        <v>3575.6</v>
      </c>
      <c r="I209" s="13">
        <f t="shared" si="254"/>
        <v>587.16</v>
      </c>
      <c r="J209" s="14">
        <f t="shared" si="226"/>
        <v>4162.76</v>
      </c>
      <c r="M209" s="54"/>
      <c r="N209" s="56"/>
      <c r="V209" s="74">
        <v>28</v>
      </c>
      <c r="W209" s="74" t="s">
        <v>109</v>
      </c>
      <c r="X209" s="13">
        <v>159.53</v>
      </c>
      <c r="Y209" s="13">
        <v>26.2</v>
      </c>
      <c r="Z209" s="13">
        <f t="shared" ref="Z209" si="259">SUM(X209:Y209)</f>
        <v>185.73</v>
      </c>
      <c r="AB209" s="74">
        <v>28</v>
      </c>
      <c r="AC209" s="74" t="s">
        <v>109</v>
      </c>
      <c r="AD209" s="13">
        <v>205.51</v>
      </c>
      <c r="AE209" s="13">
        <v>33.75</v>
      </c>
      <c r="AF209" s="13">
        <f t="shared" ref="AF209" si="260">SUM(AD209:AE209)</f>
        <v>239.26</v>
      </c>
      <c r="AH209" s="89">
        <f t="shared" ref="AH209" si="261">IF(E209=0,0,(E209/AD209)-1)</f>
        <v>-0.37861904530193169</v>
      </c>
      <c r="AI209" s="89">
        <f t="shared" ref="AI209" si="262">IF(F209=0,0,(F209/AE209)-1)</f>
        <v>-0.37866666666666671</v>
      </c>
      <c r="AJ209" s="89">
        <f t="shared" ref="AJ209" si="263">IF(G209=0,0,(G209/AF209)-1)</f>
        <v>-0.37862576276853621</v>
      </c>
    </row>
    <row r="210" spans="1:36" x14ac:dyDescent="0.3">
      <c r="A210" s="17" t="s">
        <v>422</v>
      </c>
      <c r="B210" s="11" t="s">
        <v>423</v>
      </c>
      <c r="C210" s="12">
        <f t="shared" si="251"/>
        <v>38</v>
      </c>
      <c r="D210" s="41" t="str">
        <f t="shared" si="252"/>
        <v>un</v>
      </c>
      <c r="E210" s="41">
        <f>ROUND((X210*(1-$M$5))*(1+BDI!$C$21),2)</f>
        <v>89.08</v>
      </c>
      <c r="F210" s="41">
        <f>ROUND((Y210*(1-$N$5))*(1+BDI!$C$21),2)</f>
        <v>34.51</v>
      </c>
      <c r="G210" s="41">
        <f t="shared" ref="G210" si="264">F210+E210</f>
        <v>123.59</v>
      </c>
      <c r="H210" s="13">
        <f t="shared" ref="H210" si="265">C210*E210</f>
        <v>3385.04</v>
      </c>
      <c r="I210" s="13">
        <f t="shared" ref="I210" si="266">C210*F210</f>
        <v>1311.3799999999999</v>
      </c>
      <c r="J210" s="14">
        <f t="shared" ref="J210" si="267">SUM(E210:F210)*C210</f>
        <v>4696.42</v>
      </c>
      <c r="M210" s="54"/>
      <c r="N210" s="56"/>
      <c r="V210" s="74">
        <v>38</v>
      </c>
      <c r="W210" s="74" t="s">
        <v>109</v>
      </c>
      <c r="X210" s="13">
        <v>111.28</v>
      </c>
      <c r="Y210" s="13">
        <v>43.11</v>
      </c>
      <c r="Z210" s="13">
        <f t="shared" ref="Z210" si="268">SUM(X210:Y210)</f>
        <v>154.38999999999999</v>
      </c>
      <c r="AB210" s="74">
        <v>38</v>
      </c>
      <c r="AC210" s="74" t="s">
        <v>109</v>
      </c>
      <c r="AD210" s="13">
        <v>143.35</v>
      </c>
      <c r="AE210" s="13">
        <v>55.53</v>
      </c>
      <c r="AF210" s="13">
        <f t="shared" ref="AF210" si="269">SUM(AD210:AE210)</f>
        <v>198.88</v>
      </c>
      <c r="AH210" s="89">
        <f t="shared" si="201"/>
        <v>-0.37858388559469824</v>
      </c>
      <c r="AI210" s="89">
        <f t="shared" si="202"/>
        <v>-0.37853412569782108</v>
      </c>
      <c r="AJ210" s="89">
        <f t="shared" si="203"/>
        <v>-0.37856999195494767</v>
      </c>
    </row>
    <row r="211" spans="1:36" x14ac:dyDescent="0.3">
      <c r="A211" s="17" t="s">
        <v>424</v>
      </c>
      <c r="B211" s="11" t="s">
        <v>425</v>
      </c>
      <c r="C211" s="12">
        <f t="shared" si="251"/>
        <v>16</v>
      </c>
      <c r="D211" s="41" t="str">
        <f t="shared" si="252"/>
        <v>un</v>
      </c>
      <c r="E211" s="41">
        <f>ROUND((X211*(1-$M$5))*(1+BDI!$C$21),2)</f>
        <v>50.25</v>
      </c>
      <c r="F211" s="41">
        <f>ROUND((Y211*(1-$N$5))*(1+BDI!$C$21),2)</f>
        <v>13.53</v>
      </c>
      <c r="G211" s="41">
        <f t="shared" si="225"/>
        <v>63.78</v>
      </c>
      <c r="H211" s="13">
        <f t="shared" si="253"/>
        <v>804</v>
      </c>
      <c r="I211" s="13">
        <f t="shared" si="254"/>
        <v>216.48</v>
      </c>
      <c r="J211" s="14">
        <f t="shared" si="226"/>
        <v>1020.48</v>
      </c>
      <c r="M211" s="54"/>
      <c r="N211" s="56"/>
      <c r="V211" s="74">
        <v>16</v>
      </c>
      <c r="W211" s="74" t="s">
        <v>109</v>
      </c>
      <c r="X211" s="13">
        <v>62.77</v>
      </c>
      <c r="Y211" s="13">
        <v>16.899999999999999</v>
      </c>
      <c r="Z211" s="13">
        <f t="shared" si="255"/>
        <v>79.67</v>
      </c>
      <c r="AB211" s="74">
        <v>16</v>
      </c>
      <c r="AC211" s="74" t="s">
        <v>109</v>
      </c>
      <c r="AD211" s="13">
        <v>80.86</v>
      </c>
      <c r="AE211" s="13">
        <v>21.77</v>
      </c>
      <c r="AF211" s="13">
        <f t="shared" ref="AF211" si="270">SUM(AD211:AE211)</f>
        <v>102.63</v>
      </c>
      <c r="AH211" s="89">
        <f t="shared" si="201"/>
        <v>-0.37855552807321291</v>
      </c>
      <c r="AI211" s="89">
        <f t="shared" si="202"/>
        <v>-0.37850252641249427</v>
      </c>
      <c r="AJ211" s="89">
        <f t="shared" si="203"/>
        <v>-0.37854428529669681</v>
      </c>
    </row>
    <row r="212" spans="1:36" x14ac:dyDescent="0.3">
      <c r="A212" s="17" t="s">
        <v>426</v>
      </c>
      <c r="B212" s="11" t="s">
        <v>427</v>
      </c>
      <c r="C212" s="12">
        <f t="shared" ref="C212" si="271">V212</f>
        <v>1</v>
      </c>
      <c r="D212" s="41" t="str">
        <f t="shared" ref="D212" si="272">W212</f>
        <v>un</v>
      </c>
      <c r="E212" s="41">
        <f>ROUND((X212*(1-$M$5))*(1+BDI!$C$21),2)</f>
        <v>61.5</v>
      </c>
      <c r="F212" s="41">
        <f>ROUND((Y212*(1-$N$5))*(1+BDI!$C$21),2)</f>
        <v>23.3</v>
      </c>
      <c r="G212" s="41">
        <f t="shared" ref="G212" si="273">F212+E212</f>
        <v>84.8</v>
      </c>
      <c r="H212" s="13">
        <f t="shared" ref="H212" si="274">C212*E212</f>
        <v>61.5</v>
      </c>
      <c r="I212" s="13">
        <f t="shared" ref="I212" si="275">C212*F212</f>
        <v>23.3</v>
      </c>
      <c r="J212" s="14">
        <f t="shared" ref="J212" si="276">SUM(E212:F212)*C212</f>
        <v>84.8</v>
      </c>
      <c r="M212" s="54"/>
      <c r="N212" s="56"/>
      <c r="V212" s="74">
        <v>1</v>
      </c>
      <c r="W212" s="74" t="s">
        <v>109</v>
      </c>
      <c r="X212" s="13">
        <v>76.83</v>
      </c>
      <c r="Y212" s="13">
        <v>29.11</v>
      </c>
      <c r="Z212" s="13">
        <f t="shared" ref="Z212" si="277">SUM(X212:Y212)</f>
        <v>105.94</v>
      </c>
      <c r="AB212" s="74">
        <v>1</v>
      </c>
      <c r="AC212" s="74" t="s">
        <v>109</v>
      </c>
      <c r="AD212" s="13">
        <v>98.97</v>
      </c>
      <c r="AE212" s="13">
        <v>37.5</v>
      </c>
      <c r="AF212" s="13">
        <f t="shared" ref="AF212" si="278">SUM(AD212:AE212)</f>
        <v>136.47</v>
      </c>
      <c r="AH212" s="89">
        <f t="shared" si="201"/>
        <v>-0.3785995756289785</v>
      </c>
      <c r="AI212" s="89">
        <f t="shared" si="202"/>
        <v>-0.3786666666666666</v>
      </c>
      <c r="AJ212" s="89">
        <f t="shared" si="203"/>
        <v>-0.37861801128453143</v>
      </c>
    </row>
    <row r="213" spans="1:36" x14ac:dyDescent="0.3">
      <c r="A213" s="17" t="s">
        <v>1015</v>
      </c>
      <c r="B213" s="11" t="s">
        <v>1037</v>
      </c>
      <c r="C213" s="12">
        <f t="shared" si="251"/>
        <v>1</v>
      </c>
      <c r="D213" s="41" t="str">
        <f t="shared" si="252"/>
        <v>un</v>
      </c>
      <c r="E213" s="41">
        <f>ROUND((X213*(1-$M$5))*(1+BDI!$C$21),2)</f>
        <v>81.81</v>
      </c>
      <c r="F213" s="41">
        <f>ROUND((Y213*(1-$N$5))*(1+BDI!$C$21),2)</f>
        <v>23.3</v>
      </c>
      <c r="G213" s="41">
        <f t="shared" si="225"/>
        <v>105.11</v>
      </c>
      <c r="H213" s="13">
        <f t="shared" si="253"/>
        <v>81.81</v>
      </c>
      <c r="I213" s="13">
        <f t="shared" si="254"/>
        <v>23.3</v>
      </c>
      <c r="J213" s="14">
        <f t="shared" si="226"/>
        <v>105.11</v>
      </c>
      <c r="M213" s="54"/>
      <c r="N213" s="56"/>
      <c r="V213" s="74">
        <v>1</v>
      </c>
      <c r="W213" s="74" t="s">
        <v>109</v>
      </c>
      <c r="X213" s="13">
        <v>102.2</v>
      </c>
      <c r="Y213" s="13">
        <v>29.11</v>
      </c>
      <c r="Z213" s="13">
        <f t="shared" si="255"/>
        <v>131.31</v>
      </c>
      <c r="AB213" s="74">
        <v>1</v>
      </c>
      <c r="AC213" s="74" t="s">
        <v>109</v>
      </c>
      <c r="AD213" s="13">
        <v>131.65</v>
      </c>
      <c r="AE213" s="13">
        <v>37.5</v>
      </c>
      <c r="AF213" s="13">
        <f t="shared" ref="AF213" si="279">SUM(AD213:AE213)</f>
        <v>169.15</v>
      </c>
      <c r="AH213" s="89">
        <f t="shared" si="201"/>
        <v>-0.3785795670338018</v>
      </c>
      <c r="AI213" s="89">
        <f t="shared" si="202"/>
        <v>-0.3786666666666666</v>
      </c>
      <c r="AJ213" s="89">
        <f t="shared" si="203"/>
        <v>-0.37859887673662429</v>
      </c>
    </row>
    <row r="214" spans="1:36" x14ac:dyDescent="0.3">
      <c r="A214" s="15">
        <v>16</v>
      </c>
      <c r="B214" s="16" t="s">
        <v>428</v>
      </c>
      <c r="C214" s="76"/>
      <c r="D214" s="58"/>
      <c r="E214" s="58"/>
      <c r="F214" s="58"/>
      <c r="G214" s="58"/>
      <c r="H214" s="24">
        <f t="shared" ref="H214:I214" si="280">SUM(H215:H233)</f>
        <v>90188.87000000001</v>
      </c>
      <c r="I214" s="24">
        <f t="shared" si="280"/>
        <v>20848.639999999996</v>
      </c>
      <c r="J214" s="24">
        <f>SUM(J215:J233)</f>
        <v>111037.51000000002</v>
      </c>
      <c r="M214" s="54"/>
      <c r="N214" s="56"/>
      <c r="V214" s="75"/>
      <c r="W214" s="75"/>
      <c r="X214" s="23"/>
      <c r="Y214" s="23"/>
      <c r="Z214" s="23"/>
      <c r="AB214" s="75"/>
      <c r="AC214" s="75"/>
      <c r="AD214" s="23"/>
      <c r="AE214" s="23"/>
      <c r="AF214" s="23"/>
      <c r="AH214" s="89">
        <f t="shared" si="201"/>
        <v>0</v>
      </c>
      <c r="AI214" s="89">
        <f t="shared" si="202"/>
        <v>0</v>
      </c>
      <c r="AJ214" s="89">
        <f t="shared" si="203"/>
        <v>0</v>
      </c>
    </row>
    <row r="215" spans="1:36" x14ac:dyDescent="0.3">
      <c r="A215" s="17" t="s">
        <v>429</v>
      </c>
      <c r="B215" s="11" t="s">
        <v>430</v>
      </c>
      <c r="C215" s="12">
        <f t="shared" ref="C215:C233" si="281">V215</f>
        <v>10</v>
      </c>
      <c r="D215" s="41" t="str">
        <f t="shared" ref="D215:D233" si="282">W215</f>
        <v>m²</v>
      </c>
      <c r="E215" s="41">
        <f>ROUND((X215*(1-$M$5))*(1+BDI!$C$21),2)</f>
        <v>165.4</v>
      </c>
      <c r="F215" s="41">
        <f>ROUND((Y215*(1-$N$5))*(1+BDI!$C$21),2)</f>
        <v>18.95</v>
      </c>
      <c r="G215" s="41">
        <f t="shared" si="225"/>
        <v>184.35</v>
      </c>
      <c r="H215" s="13">
        <f t="shared" ref="H215:H233" si="283">C215*E215</f>
        <v>1654</v>
      </c>
      <c r="I215" s="13">
        <f t="shared" ref="I215:I233" si="284">C215*F215</f>
        <v>189.5</v>
      </c>
      <c r="J215" s="14">
        <f t="shared" si="226"/>
        <v>1843.5</v>
      </c>
      <c r="M215" s="54"/>
      <c r="N215" s="56"/>
      <c r="V215" s="74">
        <v>10</v>
      </c>
      <c r="W215" s="74" t="s">
        <v>59</v>
      </c>
      <c r="X215" s="13">
        <v>206.62</v>
      </c>
      <c r="Y215" s="13">
        <v>23.67</v>
      </c>
      <c r="Z215" s="13">
        <f t="shared" ref="Z215:Z233" si="285">SUM(X215:Y215)</f>
        <v>230.29000000000002</v>
      </c>
      <c r="AB215" s="74">
        <v>10</v>
      </c>
      <c r="AC215" s="74" t="s">
        <v>59</v>
      </c>
      <c r="AD215" s="13">
        <v>266.17</v>
      </c>
      <c r="AE215" s="13">
        <v>30.49</v>
      </c>
      <c r="AF215" s="13">
        <f t="shared" ref="AF215:AF227" si="286">SUM(AD215:AE215)</f>
        <v>296.66000000000003</v>
      </c>
      <c r="AH215" s="89">
        <f t="shared" si="201"/>
        <v>-0.37859262877108613</v>
      </c>
      <c r="AI215" s="89">
        <f t="shared" si="202"/>
        <v>-0.37848474909806495</v>
      </c>
      <c r="AJ215" s="89">
        <f t="shared" si="203"/>
        <v>-0.3785815411582284</v>
      </c>
    </row>
    <row r="216" spans="1:36" x14ac:dyDescent="0.3">
      <c r="A216" s="17" t="s">
        <v>431</v>
      </c>
      <c r="B216" s="11" t="s">
        <v>432</v>
      </c>
      <c r="C216" s="12">
        <f t="shared" si="281"/>
        <v>33</v>
      </c>
      <c r="D216" s="41" t="str">
        <f t="shared" si="282"/>
        <v>m²</v>
      </c>
      <c r="E216" s="41">
        <f>ROUND((X216*(1-$M$5))*(1+BDI!$C$21),2)</f>
        <v>222.1</v>
      </c>
      <c r="F216" s="41">
        <f>ROUND((Y216*(1-$N$5))*(1+BDI!$C$21),2)</f>
        <v>21.05</v>
      </c>
      <c r="G216" s="41">
        <f t="shared" si="225"/>
        <v>243.15</v>
      </c>
      <c r="H216" s="13">
        <f t="shared" si="283"/>
        <v>7329.3</v>
      </c>
      <c r="I216" s="13">
        <f t="shared" si="284"/>
        <v>694.65</v>
      </c>
      <c r="J216" s="14">
        <f t="shared" si="226"/>
        <v>8023.95</v>
      </c>
      <c r="M216" s="54"/>
      <c r="N216" s="56"/>
      <c r="V216" s="74">
        <v>33</v>
      </c>
      <c r="W216" s="74" t="s">
        <v>59</v>
      </c>
      <c r="X216" s="13">
        <v>277.45</v>
      </c>
      <c r="Y216" s="13">
        <v>26.3</v>
      </c>
      <c r="Z216" s="13">
        <f t="shared" si="285"/>
        <v>303.75</v>
      </c>
      <c r="AB216" s="74">
        <v>33</v>
      </c>
      <c r="AC216" s="74" t="s">
        <v>59</v>
      </c>
      <c r="AD216" s="13">
        <v>357.41</v>
      </c>
      <c r="AE216" s="13">
        <v>33.880000000000003</v>
      </c>
      <c r="AF216" s="13">
        <f t="shared" si="286"/>
        <v>391.29</v>
      </c>
      <c r="AH216" s="89">
        <f t="shared" ref="AH216:AH282" si="287">IF(E216=0,0,(E216/AD216)-1)</f>
        <v>-0.37858481855572035</v>
      </c>
      <c r="AI216" s="89">
        <f t="shared" si="202"/>
        <v>-0.37868949232585603</v>
      </c>
      <c r="AJ216" s="89">
        <f t="shared" si="203"/>
        <v>-0.37859388177566511</v>
      </c>
    </row>
    <row r="217" spans="1:36" x14ac:dyDescent="0.3">
      <c r="A217" s="17" t="s">
        <v>433</v>
      </c>
      <c r="B217" s="11" t="s">
        <v>434</v>
      </c>
      <c r="C217" s="12">
        <f t="shared" si="281"/>
        <v>1</v>
      </c>
      <c r="D217" s="41" t="str">
        <f t="shared" si="282"/>
        <v>m²</v>
      </c>
      <c r="E217" s="41">
        <f>ROUND((X217*(1-$M$5))*(1+BDI!$C$21),2)</f>
        <v>142.71</v>
      </c>
      <c r="F217" s="41">
        <f>ROUND((Y217*(1-$N$5))*(1+BDI!$C$21),2)</f>
        <v>18.95</v>
      </c>
      <c r="G217" s="41">
        <f t="shared" si="225"/>
        <v>161.66</v>
      </c>
      <c r="H217" s="13">
        <f t="shared" si="283"/>
        <v>142.71</v>
      </c>
      <c r="I217" s="13">
        <f t="shared" si="284"/>
        <v>18.95</v>
      </c>
      <c r="J217" s="14">
        <f t="shared" si="226"/>
        <v>161.66</v>
      </c>
      <c r="M217" s="54"/>
      <c r="N217" s="56"/>
      <c r="V217" s="74">
        <v>1</v>
      </c>
      <c r="W217" s="74" t="s">
        <v>59</v>
      </c>
      <c r="X217" s="13">
        <v>178.28</v>
      </c>
      <c r="Y217" s="13">
        <v>23.67</v>
      </c>
      <c r="Z217" s="13">
        <f t="shared" si="285"/>
        <v>201.95</v>
      </c>
      <c r="AB217" s="74">
        <v>1</v>
      </c>
      <c r="AC217" s="74" t="s">
        <v>59</v>
      </c>
      <c r="AD217" s="13">
        <v>229.66</v>
      </c>
      <c r="AE217" s="13">
        <v>30.49</v>
      </c>
      <c r="AF217" s="13">
        <f t="shared" si="286"/>
        <v>260.14999999999998</v>
      </c>
      <c r="AH217" s="89">
        <f t="shared" si="287"/>
        <v>-0.37860315248628407</v>
      </c>
      <c r="AI217" s="89">
        <f t="shared" ref="AI217:AI283" si="288">IF(F217=0,0,(F217/AE217)-1)</f>
        <v>-0.37848474909806495</v>
      </c>
      <c r="AJ217" s="89">
        <f t="shared" ref="AJ217:AJ283" si="289">IF(G217=0,0,(G217/AF217)-1)</f>
        <v>-0.378589275418028</v>
      </c>
    </row>
    <row r="218" spans="1:36" x14ac:dyDescent="0.3">
      <c r="A218" s="17" t="s">
        <v>435</v>
      </c>
      <c r="B218" s="11" t="s">
        <v>436</v>
      </c>
      <c r="C218" s="12">
        <f t="shared" si="281"/>
        <v>3</v>
      </c>
      <c r="D218" s="41" t="str">
        <f t="shared" si="282"/>
        <v>m²</v>
      </c>
      <c r="E218" s="41">
        <f>ROUND((X218*(1-$M$5))*(1+BDI!$C$21),2)</f>
        <v>369.52</v>
      </c>
      <c r="F218" s="41">
        <f>ROUND((Y218*(1-$N$5))*(1+BDI!$C$21),2)</f>
        <v>18.95</v>
      </c>
      <c r="G218" s="41">
        <f t="shared" si="225"/>
        <v>388.46999999999997</v>
      </c>
      <c r="H218" s="13">
        <f t="shared" si="283"/>
        <v>1108.56</v>
      </c>
      <c r="I218" s="13">
        <f t="shared" si="284"/>
        <v>56.849999999999994</v>
      </c>
      <c r="J218" s="14">
        <f t="shared" si="226"/>
        <v>1165.4099999999999</v>
      </c>
      <c r="M218" s="54"/>
      <c r="N218" s="56"/>
      <c r="V218" s="74">
        <v>3</v>
      </c>
      <c r="W218" s="74" t="s">
        <v>59</v>
      </c>
      <c r="X218" s="13">
        <v>461.62</v>
      </c>
      <c r="Y218" s="13">
        <v>23.67</v>
      </c>
      <c r="Z218" s="13">
        <f t="shared" si="285"/>
        <v>485.29</v>
      </c>
      <c r="AB218" s="74">
        <v>3</v>
      </c>
      <c r="AC218" s="74" t="s">
        <v>59</v>
      </c>
      <c r="AD218" s="13">
        <v>594.66</v>
      </c>
      <c r="AE218" s="13">
        <v>30.49</v>
      </c>
      <c r="AF218" s="13">
        <f t="shared" si="286"/>
        <v>625.15</v>
      </c>
      <c r="AH218" s="89">
        <f t="shared" si="287"/>
        <v>-0.37860289913564049</v>
      </c>
      <c r="AI218" s="89">
        <f t="shared" si="288"/>
        <v>-0.37848474909806495</v>
      </c>
      <c r="AJ218" s="89">
        <f t="shared" si="289"/>
        <v>-0.37859713668719508</v>
      </c>
    </row>
    <row r="219" spans="1:36" x14ac:dyDescent="0.3">
      <c r="A219" s="17" t="s">
        <v>437</v>
      </c>
      <c r="B219" s="11" t="s">
        <v>438</v>
      </c>
      <c r="C219" s="12">
        <f t="shared" si="281"/>
        <v>88</v>
      </c>
      <c r="D219" s="41" t="str">
        <f t="shared" si="282"/>
        <v>m²</v>
      </c>
      <c r="E219" s="41">
        <f>ROUND((X219*(1-$M$5))*(1+BDI!$C$21),2)</f>
        <v>411.35</v>
      </c>
      <c r="F219" s="41">
        <f>ROUND((Y219*(1-$N$5))*(1+BDI!$C$21),2)</f>
        <v>21.05</v>
      </c>
      <c r="G219" s="41">
        <f t="shared" si="225"/>
        <v>432.40000000000003</v>
      </c>
      <c r="H219" s="13">
        <f t="shared" si="283"/>
        <v>36198.800000000003</v>
      </c>
      <c r="I219" s="13">
        <f t="shared" si="284"/>
        <v>1852.4</v>
      </c>
      <c r="J219" s="14">
        <f t="shared" si="226"/>
        <v>38051.200000000004</v>
      </c>
      <c r="M219" s="54"/>
      <c r="N219" s="56"/>
      <c r="V219" s="74">
        <v>88</v>
      </c>
      <c r="W219" s="74" t="s">
        <v>59</v>
      </c>
      <c r="X219" s="13">
        <v>513.87</v>
      </c>
      <c r="Y219" s="13">
        <v>26.3</v>
      </c>
      <c r="Z219" s="13">
        <f t="shared" si="285"/>
        <v>540.16999999999996</v>
      </c>
      <c r="AB219" s="74">
        <v>88</v>
      </c>
      <c r="AC219" s="74" t="s">
        <v>59</v>
      </c>
      <c r="AD219" s="13">
        <v>661.97</v>
      </c>
      <c r="AE219" s="13">
        <v>33.880000000000003</v>
      </c>
      <c r="AF219" s="13">
        <f t="shared" si="286"/>
        <v>695.85</v>
      </c>
      <c r="AH219" s="89">
        <f t="shared" si="287"/>
        <v>-0.37859721739655872</v>
      </c>
      <c r="AI219" s="89">
        <f t="shared" si="288"/>
        <v>-0.37868949232585603</v>
      </c>
      <c r="AJ219" s="89">
        <f t="shared" si="289"/>
        <v>-0.37860171013867927</v>
      </c>
    </row>
    <row r="220" spans="1:36" ht="28.8" x14ac:dyDescent="0.3">
      <c r="A220" s="17" t="s">
        <v>439</v>
      </c>
      <c r="B220" s="11" t="s">
        <v>440</v>
      </c>
      <c r="C220" s="12">
        <f t="shared" si="281"/>
        <v>1</v>
      </c>
      <c r="D220" s="41" t="str">
        <f t="shared" si="282"/>
        <v>m²</v>
      </c>
      <c r="E220" s="41">
        <f>ROUND((X220*(1-$M$5))*(1+BDI!$C$21),2)</f>
        <v>692.8</v>
      </c>
      <c r="F220" s="41">
        <f>ROUND((Y220*(1-$N$5))*(1+BDI!$C$21),2)</f>
        <v>21.05</v>
      </c>
      <c r="G220" s="41">
        <f t="shared" si="225"/>
        <v>713.84999999999991</v>
      </c>
      <c r="H220" s="13">
        <f t="shared" si="283"/>
        <v>692.8</v>
      </c>
      <c r="I220" s="13">
        <f t="shared" si="284"/>
        <v>21.05</v>
      </c>
      <c r="J220" s="14">
        <f t="shared" si="226"/>
        <v>713.84999999999991</v>
      </c>
      <c r="M220" s="54"/>
      <c r="N220" s="56"/>
      <c r="V220" s="74">
        <v>1</v>
      </c>
      <c r="W220" s="74" t="s">
        <v>59</v>
      </c>
      <c r="X220" s="13">
        <v>865.47</v>
      </c>
      <c r="Y220" s="13">
        <v>26.3</v>
      </c>
      <c r="Z220" s="13">
        <f t="shared" si="285"/>
        <v>891.77</v>
      </c>
      <c r="AB220" s="74">
        <v>1</v>
      </c>
      <c r="AC220" s="74" t="s">
        <v>59</v>
      </c>
      <c r="AD220" s="13">
        <v>1114.9000000000001</v>
      </c>
      <c r="AE220" s="13">
        <v>33.880000000000003</v>
      </c>
      <c r="AF220" s="13">
        <f t="shared" si="286"/>
        <v>1148.7800000000002</v>
      </c>
      <c r="AH220" s="89">
        <f t="shared" si="287"/>
        <v>-0.37859897748677018</v>
      </c>
      <c r="AI220" s="89">
        <f t="shared" si="288"/>
        <v>-0.37868949232585603</v>
      </c>
      <c r="AJ220" s="89">
        <f t="shared" si="289"/>
        <v>-0.37860164696460608</v>
      </c>
    </row>
    <row r="221" spans="1:36" ht="28.8" x14ac:dyDescent="0.3">
      <c r="A221" s="17" t="s">
        <v>441</v>
      </c>
      <c r="B221" s="11" t="s">
        <v>442</v>
      </c>
      <c r="C221" s="12">
        <f t="shared" si="281"/>
        <v>3</v>
      </c>
      <c r="D221" s="41" t="str">
        <f t="shared" si="282"/>
        <v>m²</v>
      </c>
      <c r="E221" s="41">
        <f>ROUND((X221*(1-$M$5))*(1+BDI!$C$21),2)</f>
        <v>1038.3499999999999</v>
      </c>
      <c r="F221" s="41">
        <f>ROUND((Y221*(1-$N$5))*(1+BDI!$C$21),2)</f>
        <v>21.05</v>
      </c>
      <c r="G221" s="41">
        <f t="shared" si="225"/>
        <v>1059.3999999999999</v>
      </c>
      <c r="H221" s="13">
        <f t="shared" si="283"/>
        <v>3115.0499999999997</v>
      </c>
      <c r="I221" s="13">
        <f t="shared" si="284"/>
        <v>63.150000000000006</v>
      </c>
      <c r="J221" s="14">
        <f t="shared" si="226"/>
        <v>3178.2</v>
      </c>
      <c r="M221" s="54"/>
      <c r="N221" s="56"/>
      <c r="V221" s="74">
        <v>3</v>
      </c>
      <c r="W221" s="74" t="s">
        <v>59</v>
      </c>
      <c r="X221" s="13">
        <v>1297.1500000000001</v>
      </c>
      <c r="Y221" s="13">
        <v>26.3</v>
      </c>
      <c r="Z221" s="13">
        <f t="shared" si="285"/>
        <v>1323.45</v>
      </c>
      <c r="AB221" s="74">
        <v>3</v>
      </c>
      <c r="AC221" s="74" t="s">
        <v>59</v>
      </c>
      <c r="AD221" s="13">
        <v>1670.99</v>
      </c>
      <c r="AE221" s="13">
        <v>33.880000000000003</v>
      </c>
      <c r="AF221" s="13">
        <f t="shared" si="286"/>
        <v>1704.8700000000001</v>
      </c>
      <c r="AH221" s="89">
        <f t="shared" si="287"/>
        <v>-0.37860190665413918</v>
      </c>
      <c r="AI221" s="89">
        <f t="shared" si="288"/>
        <v>-0.37868949232585603</v>
      </c>
      <c r="AJ221" s="89">
        <f t="shared" si="289"/>
        <v>-0.37860364719890682</v>
      </c>
    </row>
    <row r="222" spans="1:36" x14ac:dyDescent="0.3">
      <c r="A222" s="17" t="s">
        <v>443</v>
      </c>
      <c r="B222" s="11" t="s">
        <v>444</v>
      </c>
      <c r="C222" s="12">
        <f t="shared" si="281"/>
        <v>1</v>
      </c>
      <c r="D222" s="41" t="str">
        <f t="shared" si="282"/>
        <v>m²</v>
      </c>
      <c r="E222" s="41">
        <f>ROUND((X222*(1-$M$5))*(1+BDI!$C$21),2)</f>
        <v>409.55</v>
      </c>
      <c r="F222" s="41">
        <f>ROUND((Y222*(1-$N$5))*(1+BDI!$C$21),2)</f>
        <v>21.05</v>
      </c>
      <c r="G222" s="41">
        <f t="shared" si="225"/>
        <v>430.6</v>
      </c>
      <c r="H222" s="13">
        <f t="shared" si="283"/>
        <v>409.55</v>
      </c>
      <c r="I222" s="13">
        <f t="shared" si="284"/>
        <v>21.05</v>
      </c>
      <c r="J222" s="14">
        <f t="shared" si="226"/>
        <v>430.6</v>
      </c>
      <c r="M222" s="54"/>
      <c r="N222" s="56"/>
      <c r="V222" s="74">
        <v>1</v>
      </c>
      <c r="W222" s="74" t="s">
        <v>59</v>
      </c>
      <c r="X222" s="13">
        <v>511.62</v>
      </c>
      <c r="Y222" s="13">
        <v>26.3</v>
      </c>
      <c r="Z222" s="13">
        <f t="shared" si="285"/>
        <v>537.91999999999996</v>
      </c>
      <c r="AB222" s="74">
        <v>1</v>
      </c>
      <c r="AC222" s="74" t="s">
        <v>59</v>
      </c>
      <c r="AD222" s="13">
        <v>659.07</v>
      </c>
      <c r="AE222" s="13">
        <v>33.880000000000003</v>
      </c>
      <c r="AF222" s="13">
        <f t="shared" si="286"/>
        <v>692.95</v>
      </c>
      <c r="AH222" s="89">
        <f t="shared" si="287"/>
        <v>-0.37859407953631641</v>
      </c>
      <c r="AI222" s="89">
        <f t="shared" si="288"/>
        <v>-0.37868949232585603</v>
      </c>
      <c r="AJ222" s="89">
        <f t="shared" si="289"/>
        <v>-0.37859874449816</v>
      </c>
    </row>
    <row r="223" spans="1:36" x14ac:dyDescent="0.3">
      <c r="A223" s="17" t="s">
        <v>445</v>
      </c>
      <c r="B223" s="11" t="s">
        <v>446</v>
      </c>
      <c r="C223" s="12">
        <f t="shared" si="281"/>
        <v>47</v>
      </c>
      <c r="D223" s="41" t="str">
        <f t="shared" si="282"/>
        <v>m²</v>
      </c>
      <c r="E223" s="41">
        <f>ROUND((X223*(1-$M$5))*(1+BDI!$C$21),2)</f>
        <v>370.04</v>
      </c>
      <c r="F223" s="41">
        <f>ROUND((Y223*(1-$N$5))*(1+BDI!$C$21),2)</f>
        <v>21.05</v>
      </c>
      <c r="G223" s="41">
        <f t="shared" si="225"/>
        <v>391.09000000000003</v>
      </c>
      <c r="H223" s="13">
        <f t="shared" si="283"/>
        <v>17391.88</v>
      </c>
      <c r="I223" s="13">
        <f t="shared" si="284"/>
        <v>989.35</v>
      </c>
      <c r="J223" s="14">
        <f t="shared" si="226"/>
        <v>18381.230000000003</v>
      </c>
      <c r="M223" s="54"/>
      <c r="N223" s="55"/>
      <c r="V223" s="74">
        <v>47</v>
      </c>
      <c r="W223" s="74" t="s">
        <v>59</v>
      </c>
      <c r="X223" s="13">
        <v>462.27</v>
      </c>
      <c r="Y223" s="13">
        <v>26.3</v>
      </c>
      <c r="Z223" s="13">
        <f t="shared" si="285"/>
        <v>488.57</v>
      </c>
      <c r="AB223" s="74">
        <v>47</v>
      </c>
      <c r="AC223" s="74" t="s">
        <v>59</v>
      </c>
      <c r="AD223" s="13">
        <v>595.5</v>
      </c>
      <c r="AE223" s="13">
        <v>33.880000000000003</v>
      </c>
      <c r="AF223" s="13">
        <f t="shared" si="286"/>
        <v>629.38</v>
      </c>
      <c r="AH223" s="89">
        <f t="shared" si="287"/>
        <v>-0.37860621326616284</v>
      </c>
      <c r="AI223" s="89">
        <f t="shared" si="288"/>
        <v>-0.37868949232585603</v>
      </c>
      <c r="AJ223" s="89">
        <f t="shared" si="289"/>
        <v>-0.37861069624074484</v>
      </c>
    </row>
    <row r="224" spans="1:36" x14ac:dyDescent="0.3">
      <c r="A224" s="17" t="s">
        <v>447</v>
      </c>
      <c r="B224" s="11" t="s">
        <v>448</v>
      </c>
      <c r="C224" s="12">
        <f t="shared" si="281"/>
        <v>253</v>
      </c>
      <c r="D224" s="41" t="str">
        <f t="shared" si="282"/>
        <v>m</v>
      </c>
      <c r="E224" s="41">
        <f>ROUND((X224*(1-$M$5))*(1+BDI!$C$21),2)</f>
        <v>51.49</v>
      </c>
      <c r="F224" s="41">
        <f>ROUND((Y224*(1-$N$5))*(1+BDI!$C$21),2)</f>
        <v>58.41</v>
      </c>
      <c r="G224" s="41">
        <f t="shared" si="225"/>
        <v>109.9</v>
      </c>
      <c r="H224" s="13">
        <f t="shared" si="283"/>
        <v>13026.970000000001</v>
      </c>
      <c r="I224" s="13">
        <f t="shared" si="284"/>
        <v>14777.73</v>
      </c>
      <c r="J224" s="14">
        <f t="shared" si="226"/>
        <v>27804.7</v>
      </c>
      <c r="M224" s="54"/>
      <c r="N224" s="56"/>
      <c r="V224" s="74">
        <v>253</v>
      </c>
      <c r="W224" s="74" t="s">
        <v>75</v>
      </c>
      <c r="X224" s="13">
        <v>64.319999999999993</v>
      </c>
      <c r="Y224" s="13">
        <v>72.97</v>
      </c>
      <c r="Z224" s="13">
        <f t="shared" si="285"/>
        <v>137.29</v>
      </c>
      <c r="AB224" s="74">
        <v>253</v>
      </c>
      <c r="AC224" s="74" t="s">
        <v>75</v>
      </c>
      <c r="AD224" s="13">
        <v>82.86</v>
      </c>
      <c r="AE224" s="13">
        <v>94</v>
      </c>
      <c r="AF224" s="13">
        <f t="shared" si="286"/>
        <v>176.86</v>
      </c>
      <c r="AH224" s="89">
        <f t="shared" si="287"/>
        <v>-0.37859039343470913</v>
      </c>
      <c r="AI224" s="89">
        <f t="shared" si="288"/>
        <v>-0.3786170212765958</v>
      </c>
      <c r="AJ224" s="89">
        <f t="shared" si="289"/>
        <v>-0.37860454596856274</v>
      </c>
    </row>
    <row r="225" spans="1:36" x14ac:dyDescent="0.3">
      <c r="A225" s="17" t="s">
        <v>449</v>
      </c>
      <c r="B225" s="11" t="s">
        <v>450</v>
      </c>
      <c r="C225" s="12">
        <f t="shared" si="281"/>
        <v>31</v>
      </c>
      <c r="D225" s="41" t="str">
        <f t="shared" si="282"/>
        <v>m</v>
      </c>
      <c r="E225" s="41">
        <f>ROUND((X225*(1-$M$5))*(1+BDI!$C$21),2)</f>
        <v>34.840000000000003</v>
      </c>
      <c r="F225" s="41">
        <f>ROUND((Y225*(1-$N$5))*(1+BDI!$C$21),2)</f>
        <v>12.89</v>
      </c>
      <c r="G225" s="41">
        <f t="shared" si="225"/>
        <v>47.730000000000004</v>
      </c>
      <c r="H225" s="13">
        <f t="shared" si="283"/>
        <v>1080.0400000000002</v>
      </c>
      <c r="I225" s="13">
        <f t="shared" si="284"/>
        <v>399.59000000000003</v>
      </c>
      <c r="J225" s="14">
        <f t="shared" si="226"/>
        <v>1479.63</v>
      </c>
      <c r="M225" s="54"/>
      <c r="N225" s="56"/>
      <c r="V225" s="74">
        <v>31</v>
      </c>
      <c r="W225" s="74" t="s">
        <v>75</v>
      </c>
      <c r="X225" s="13">
        <v>43.52</v>
      </c>
      <c r="Y225" s="13">
        <v>16.100000000000001</v>
      </c>
      <c r="Z225" s="13">
        <f t="shared" si="285"/>
        <v>59.620000000000005</v>
      </c>
      <c r="AB225" s="74">
        <v>31</v>
      </c>
      <c r="AC225" s="74" t="s">
        <v>75</v>
      </c>
      <c r="AD225" s="13">
        <v>56.06</v>
      </c>
      <c r="AE225" s="13">
        <v>20.74</v>
      </c>
      <c r="AF225" s="13">
        <f t="shared" si="286"/>
        <v>76.8</v>
      </c>
      <c r="AH225" s="89">
        <f t="shared" si="287"/>
        <v>-0.37852301105957897</v>
      </c>
      <c r="AI225" s="89">
        <f t="shared" si="288"/>
        <v>-0.37849566055930561</v>
      </c>
      <c r="AJ225" s="89">
        <f t="shared" si="289"/>
        <v>-0.37851562499999991</v>
      </c>
    </row>
    <row r="226" spans="1:36" x14ac:dyDescent="0.3">
      <c r="A226" s="17" t="s">
        <v>451</v>
      </c>
      <c r="B226" s="11" t="s">
        <v>452</v>
      </c>
      <c r="C226" s="12">
        <f t="shared" si="281"/>
        <v>139</v>
      </c>
      <c r="D226" s="41" t="str">
        <f t="shared" si="282"/>
        <v>m²</v>
      </c>
      <c r="E226" s="41">
        <f>ROUND((X226*(1-$M$5))*(1+BDI!$C$21),2)</f>
        <v>11.98</v>
      </c>
      <c r="F226" s="41">
        <f>ROUND((Y226*(1-$N$5))*(1+BDI!$C$21),2)</f>
        <v>4.4000000000000004</v>
      </c>
      <c r="G226" s="41">
        <f t="shared" si="225"/>
        <v>16.380000000000003</v>
      </c>
      <c r="H226" s="13">
        <f t="shared" si="283"/>
        <v>1665.22</v>
      </c>
      <c r="I226" s="13">
        <f t="shared" si="284"/>
        <v>611.6</v>
      </c>
      <c r="J226" s="14">
        <f t="shared" si="226"/>
        <v>2276.8200000000002</v>
      </c>
      <c r="M226" s="54"/>
      <c r="N226" s="56"/>
      <c r="V226" s="74">
        <v>139</v>
      </c>
      <c r="W226" s="74" t="s">
        <v>59</v>
      </c>
      <c r="X226" s="13">
        <v>14.96</v>
      </c>
      <c r="Y226" s="13">
        <v>5.5</v>
      </c>
      <c r="Z226" s="13">
        <f t="shared" si="285"/>
        <v>20.46</v>
      </c>
      <c r="AB226" s="74">
        <v>139</v>
      </c>
      <c r="AC226" s="74" t="s">
        <v>59</v>
      </c>
      <c r="AD226" s="13">
        <v>19.27</v>
      </c>
      <c r="AE226" s="13">
        <v>7.09</v>
      </c>
      <c r="AF226" s="13">
        <f t="shared" si="286"/>
        <v>26.36</v>
      </c>
      <c r="AH226" s="89">
        <f t="shared" si="287"/>
        <v>-0.37830825116761801</v>
      </c>
      <c r="AI226" s="89">
        <f t="shared" si="288"/>
        <v>-0.3794076163610719</v>
      </c>
      <c r="AJ226" s="89">
        <f t="shared" si="289"/>
        <v>-0.37860394537177533</v>
      </c>
    </row>
    <row r="227" spans="1:36" x14ac:dyDescent="0.3">
      <c r="A227" s="17" t="s">
        <v>453</v>
      </c>
      <c r="B227" s="11" t="s">
        <v>454</v>
      </c>
      <c r="C227" s="12">
        <f t="shared" si="281"/>
        <v>7</v>
      </c>
      <c r="D227" s="41" t="str">
        <f t="shared" si="282"/>
        <v>m²</v>
      </c>
      <c r="E227" s="41">
        <f>ROUND((X227*(1-$M$5))*(1+BDI!$C$21),2)</f>
        <v>11.98</v>
      </c>
      <c r="F227" s="41">
        <f>ROUND((Y227*(1-$N$5))*(1+BDI!$C$21),2)</f>
        <v>21.15</v>
      </c>
      <c r="G227" s="41">
        <f t="shared" si="225"/>
        <v>33.129999999999995</v>
      </c>
      <c r="H227" s="13">
        <f t="shared" si="283"/>
        <v>83.86</v>
      </c>
      <c r="I227" s="13">
        <f t="shared" si="284"/>
        <v>148.04999999999998</v>
      </c>
      <c r="J227" s="14">
        <f t="shared" si="226"/>
        <v>231.90999999999997</v>
      </c>
      <c r="M227" s="54"/>
      <c r="N227" s="56"/>
      <c r="V227" s="74">
        <v>7</v>
      </c>
      <c r="W227" s="74" t="s">
        <v>59</v>
      </c>
      <c r="X227" s="13">
        <v>14.96</v>
      </c>
      <c r="Y227" s="13">
        <v>26.42</v>
      </c>
      <c r="Z227" s="13">
        <f t="shared" si="285"/>
        <v>41.38</v>
      </c>
      <c r="AB227" s="74">
        <v>7</v>
      </c>
      <c r="AC227" s="74" t="s">
        <v>59</v>
      </c>
      <c r="AD227" s="13">
        <v>19.27</v>
      </c>
      <c r="AE227" s="13">
        <v>34.03</v>
      </c>
      <c r="AF227" s="13">
        <f t="shared" si="286"/>
        <v>53.3</v>
      </c>
      <c r="AH227" s="89">
        <f t="shared" si="287"/>
        <v>-0.37830825116761801</v>
      </c>
      <c r="AI227" s="89">
        <f t="shared" si="288"/>
        <v>-0.37848956802821043</v>
      </c>
      <c r="AJ227" s="89">
        <f t="shared" si="289"/>
        <v>-0.37842401500938094</v>
      </c>
    </row>
    <row r="228" spans="1:36" x14ac:dyDescent="0.3">
      <c r="A228" s="17" t="s">
        <v>455</v>
      </c>
      <c r="B228" s="11" t="s">
        <v>456</v>
      </c>
      <c r="C228" s="12">
        <f t="shared" si="281"/>
        <v>9</v>
      </c>
      <c r="D228" s="41" t="str">
        <f t="shared" si="282"/>
        <v>m²</v>
      </c>
      <c r="E228" s="41">
        <f>ROUND((X228*(1-$M$5))*(1+BDI!$C$21),2)</f>
        <v>436.08</v>
      </c>
      <c r="F228" s="41">
        <f>ROUND((Y228*(1-$N$5))*(1+BDI!$C$21),2)</f>
        <v>84.21</v>
      </c>
      <c r="G228" s="41">
        <f t="shared" ref="G228:G229" si="290">F228+E228</f>
        <v>520.29</v>
      </c>
      <c r="H228" s="13">
        <f t="shared" ref="H228:H229" si="291">C228*E228</f>
        <v>3924.72</v>
      </c>
      <c r="I228" s="13">
        <f t="shared" ref="I228:I229" si="292">C228*F228</f>
        <v>757.89</v>
      </c>
      <c r="J228" s="14">
        <f t="shared" ref="J228:J229" si="293">SUM(E228:F228)*C228</f>
        <v>4682.6099999999997</v>
      </c>
      <c r="M228" s="54"/>
      <c r="N228" s="56"/>
      <c r="V228" s="74">
        <v>9</v>
      </c>
      <c r="W228" s="74" t="s">
        <v>59</v>
      </c>
      <c r="X228" s="13">
        <v>544.77</v>
      </c>
      <c r="Y228" s="13">
        <v>105.2</v>
      </c>
      <c r="Z228" s="13">
        <f t="shared" ref="Z228:Z229" si="294">SUM(X228:Y228)</f>
        <v>649.97</v>
      </c>
      <c r="AB228" s="74">
        <v>9</v>
      </c>
      <c r="AC228" s="74" t="s">
        <v>59</v>
      </c>
      <c r="AD228" s="13">
        <v>701.77</v>
      </c>
      <c r="AE228" s="13">
        <v>135.52000000000001</v>
      </c>
      <c r="AF228" s="13">
        <f t="shared" ref="AF228:AF229" si="295">SUM(AD228:AE228)</f>
        <v>837.29</v>
      </c>
      <c r="AH228" s="89">
        <f t="shared" si="287"/>
        <v>-0.37859982615386811</v>
      </c>
      <c r="AI228" s="89">
        <f t="shared" si="288"/>
        <v>-0.37861570247933896</v>
      </c>
      <c r="AJ228" s="89">
        <f t="shared" si="289"/>
        <v>-0.37860239582462474</v>
      </c>
    </row>
    <row r="229" spans="1:36" x14ac:dyDescent="0.3">
      <c r="A229" s="17" t="s">
        <v>457</v>
      </c>
      <c r="B229" s="11" t="s">
        <v>458</v>
      </c>
      <c r="C229" s="12">
        <f t="shared" si="281"/>
        <v>3</v>
      </c>
      <c r="D229" s="41" t="str">
        <f t="shared" si="282"/>
        <v xml:space="preserve">UN </v>
      </c>
      <c r="E229" s="41">
        <f>ROUND((X229*(1-$M$5))*(1+BDI!$C$21),2)</f>
        <v>176.63</v>
      </c>
      <c r="F229" s="41">
        <f>ROUND((Y229*(1-$N$5))*(1+BDI!$C$21),2)</f>
        <v>44.3</v>
      </c>
      <c r="G229" s="41">
        <f t="shared" si="290"/>
        <v>220.93</v>
      </c>
      <c r="H229" s="13">
        <f t="shared" si="291"/>
        <v>529.89</v>
      </c>
      <c r="I229" s="13">
        <f t="shared" si="292"/>
        <v>132.89999999999998</v>
      </c>
      <c r="J229" s="14">
        <f t="shared" si="293"/>
        <v>662.79</v>
      </c>
      <c r="M229" s="54"/>
      <c r="N229" s="56"/>
      <c r="V229" s="74">
        <v>3</v>
      </c>
      <c r="W229" s="74" t="s">
        <v>459</v>
      </c>
      <c r="X229" s="13">
        <v>220.65</v>
      </c>
      <c r="Y229" s="13">
        <v>55.34</v>
      </c>
      <c r="Z229" s="13">
        <f t="shared" si="294"/>
        <v>275.99</v>
      </c>
      <c r="AB229" s="74">
        <v>3</v>
      </c>
      <c r="AC229" s="74" t="s">
        <v>459</v>
      </c>
      <c r="AD229" s="13">
        <v>284.24</v>
      </c>
      <c r="AE229" s="13">
        <v>71.290000000000006</v>
      </c>
      <c r="AF229" s="13">
        <f t="shared" si="295"/>
        <v>355.53000000000003</v>
      </c>
      <c r="AH229" s="89">
        <f t="shared" si="287"/>
        <v>-0.37858851674641147</v>
      </c>
      <c r="AI229" s="89">
        <f t="shared" si="288"/>
        <v>-0.37859447327815976</v>
      </c>
      <c r="AJ229" s="89">
        <f t="shared" si="289"/>
        <v>-0.37858971113548789</v>
      </c>
    </row>
    <row r="230" spans="1:36" x14ac:dyDescent="0.3">
      <c r="A230" s="17" t="s">
        <v>460</v>
      </c>
      <c r="B230" s="11" t="s">
        <v>461</v>
      </c>
      <c r="C230" s="12">
        <f t="shared" si="281"/>
        <v>11</v>
      </c>
      <c r="D230" s="41" t="str">
        <f t="shared" si="282"/>
        <v>m²</v>
      </c>
      <c r="E230" s="41">
        <f>ROUND((X230*(1-$M$5))*(1+BDI!$C$21),2)</f>
        <v>144.09</v>
      </c>
      <c r="F230" s="41">
        <f>ROUND((Y230*(1-$N$5))*(1+BDI!$C$21),2)</f>
        <v>8.44</v>
      </c>
      <c r="G230" s="41">
        <f t="shared" si="225"/>
        <v>152.53</v>
      </c>
      <c r="H230" s="13">
        <f t="shared" si="283"/>
        <v>1584.99</v>
      </c>
      <c r="I230" s="13">
        <f t="shared" si="284"/>
        <v>92.839999999999989</v>
      </c>
      <c r="J230" s="14">
        <f t="shared" si="226"/>
        <v>1677.83</v>
      </c>
      <c r="M230" s="54"/>
      <c r="N230" s="56"/>
      <c r="V230" s="74">
        <v>11</v>
      </c>
      <c r="W230" s="74" t="s">
        <v>59</v>
      </c>
      <c r="X230" s="13">
        <v>180</v>
      </c>
      <c r="Y230" s="13">
        <v>10.54</v>
      </c>
      <c r="Z230" s="13">
        <f t="shared" si="285"/>
        <v>190.54</v>
      </c>
      <c r="AB230" s="74">
        <v>11</v>
      </c>
      <c r="AC230" s="74" t="s">
        <v>59</v>
      </c>
      <c r="AD230" s="13">
        <v>231.88</v>
      </c>
      <c r="AE230" s="13">
        <v>13.58</v>
      </c>
      <c r="AF230" s="13">
        <f t="shared" ref="AF230" si="296">SUM(AD230:AE230)</f>
        <v>245.46</v>
      </c>
      <c r="AH230" s="89">
        <f t="shared" si="287"/>
        <v>-0.378601000517509</v>
      </c>
      <c r="AI230" s="89">
        <f t="shared" si="288"/>
        <v>-0.37849779086892488</v>
      </c>
      <c r="AJ230" s="89">
        <f t="shared" si="289"/>
        <v>-0.37859529047502649</v>
      </c>
    </row>
    <row r="231" spans="1:36" x14ac:dyDescent="0.3">
      <c r="A231" s="17" t="s">
        <v>462</v>
      </c>
      <c r="B231" s="11" t="s">
        <v>463</v>
      </c>
      <c r="C231" s="12">
        <f t="shared" si="281"/>
        <v>1</v>
      </c>
      <c r="D231" s="41" t="str">
        <f t="shared" si="282"/>
        <v>m²</v>
      </c>
      <c r="E231" s="41">
        <f>ROUND((X231*(1-$M$5))*(1+BDI!$C$21),2)</f>
        <v>228.14</v>
      </c>
      <c r="F231" s="41">
        <f>ROUND((Y231*(1-$N$5))*(1+BDI!$C$21),2)</f>
        <v>8.44</v>
      </c>
      <c r="G231" s="41">
        <f t="shared" si="225"/>
        <v>236.57999999999998</v>
      </c>
      <c r="H231" s="13">
        <f t="shared" si="283"/>
        <v>228.14</v>
      </c>
      <c r="I231" s="13">
        <f t="shared" si="284"/>
        <v>8.44</v>
      </c>
      <c r="J231" s="14">
        <f t="shared" si="226"/>
        <v>236.57999999999998</v>
      </c>
      <c r="M231" s="54"/>
      <c r="N231" s="56"/>
      <c r="V231" s="74">
        <v>1</v>
      </c>
      <c r="W231" s="74" t="s">
        <v>59</v>
      </c>
      <c r="X231" s="13">
        <v>285</v>
      </c>
      <c r="Y231" s="13">
        <v>10.54</v>
      </c>
      <c r="Z231" s="13">
        <f t="shared" ref="Z231" si="297">SUM(X231:Y231)</f>
        <v>295.54000000000002</v>
      </c>
      <c r="AB231" s="74">
        <v>1</v>
      </c>
      <c r="AC231" s="74" t="s">
        <v>59</v>
      </c>
      <c r="AD231" s="13">
        <v>367.14</v>
      </c>
      <c r="AE231" s="13">
        <v>13.58</v>
      </c>
      <c r="AF231" s="13">
        <f t="shared" ref="AF231" si="298">SUM(AD231:AE231)</f>
        <v>380.71999999999997</v>
      </c>
      <c r="AH231" s="89">
        <f t="shared" ref="AH231" si="299">IF(E231=0,0,(E231/AD231)-1)</f>
        <v>-0.37860216811025771</v>
      </c>
      <c r="AI231" s="89">
        <f t="shared" ref="AI231" si="300">IF(F231=0,0,(F231/AE231)-1)</f>
        <v>-0.37849779086892488</v>
      </c>
      <c r="AJ231" s="89">
        <f t="shared" ref="AJ231" si="301">IF(G231=0,0,(G231/AF231)-1)</f>
        <v>-0.37859844505148144</v>
      </c>
    </row>
    <row r="232" spans="1:36" x14ac:dyDescent="0.3">
      <c r="A232" s="17" t="s">
        <v>464</v>
      </c>
      <c r="B232" s="11" t="s">
        <v>465</v>
      </c>
      <c r="C232" s="12">
        <f t="shared" ref="C232" si="302">V232</f>
        <v>1</v>
      </c>
      <c r="D232" s="41" t="str">
        <f t="shared" ref="D232" si="303">W232</f>
        <v xml:space="preserve">UN </v>
      </c>
      <c r="E232" s="41">
        <f>ROUND((X232*(1-$M$5))*(1+BDI!$C$21),2)</f>
        <v>21.61</v>
      </c>
      <c r="F232" s="41">
        <f>ROUND((Y232*(1-$N$5))*(1+BDI!$C$21),2)</f>
        <v>8.44</v>
      </c>
      <c r="G232" s="41">
        <f t="shared" ref="G232" si="304">F232+E232</f>
        <v>30.049999999999997</v>
      </c>
      <c r="H232" s="13">
        <f t="shared" ref="H232" si="305">C232*E232</f>
        <v>21.61</v>
      </c>
      <c r="I232" s="13">
        <f t="shared" ref="I232" si="306">C232*F232</f>
        <v>8.44</v>
      </c>
      <c r="J232" s="14">
        <f t="shared" ref="J232" si="307">SUM(E232:F232)*C232</f>
        <v>30.049999999999997</v>
      </c>
      <c r="M232" s="54"/>
      <c r="N232" s="56"/>
      <c r="V232" s="74">
        <v>1</v>
      </c>
      <c r="W232" s="74" t="s">
        <v>459</v>
      </c>
      <c r="X232" s="13">
        <v>27</v>
      </c>
      <c r="Y232" s="13">
        <v>10.54</v>
      </c>
      <c r="Z232" s="13">
        <f t="shared" ref="Z232" si="308">SUM(X232:Y232)</f>
        <v>37.54</v>
      </c>
      <c r="AB232" s="74">
        <v>1</v>
      </c>
      <c r="AC232" s="74" t="s">
        <v>459</v>
      </c>
      <c r="AD232" s="13">
        <v>34.78</v>
      </c>
      <c r="AE232" s="13">
        <v>13.58</v>
      </c>
      <c r="AF232" s="13">
        <f t="shared" ref="AF232" si="309">SUM(AD232:AE232)</f>
        <v>48.36</v>
      </c>
      <c r="AH232" s="89">
        <f t="shared" si="287"/>
        <v>-0.37866589994249578</v>
      </c>
      <c r="AI232" s="89">
        <f t="shared" si="288"/>
        <v>-0.37849779086892488</v>
      </c>
      <c r="AJ232" s="89">
        <f t="shared" si="289"/>
        <v>-0.37861869313482222</v>
      </c>
    </row>
    <row r="233" spans="1:36" x14ac:dyDescent="0.3">
      <c r="A233" s="17" t="s">
        <v>1016</v>
      </c>
      <c r="B233" s="11" t="s">
        <v>1038</v>
      </c>
      <c r="C233" s="12">
        <f t="shared" si="281"/>
        <v>1</v>
      </c>
      <c r="D233" s="41" t="str">
        <f t="shared" si="282"/>
        <v xml:space="preserve">UN </v>
      </c>
      <c r="E233" s="41">
        <f>ROUND((X233*(1-$M$5))*(1+BDI!$C$21),2)</f>
        <v>0.78</v>
      </c>
      <c r="F233" s="41">
        <f>ROUND((Y233*(1-$N$5))*(1+BDI!$C$21),2)</f>
        <v>4.21</v>
      </c>
      <c r="G233" s="41">
        <f t="shared" si="225"/>
        <v>4.99</v>
      </c>
      <c r="H233" s="13">
        <f t="shared" si="283"/>
        <v>0.78</v>
      </c>
      <c r="I233" s="13">
        <f t="shared" si="284"/>
        <v>4.21</v>
      </c>
      <c r="J233" s="14">
        <f t="shared" si="226"/>
        <v>4.99</v>
      </c>
      <c r="M233" s="54"/>
      <c r="N233" s="56"/>
      <c r="V233" s="74">
        <v>1</v>
      </c>
      <c r="W233" s="74" t="s">
        <v>459</v>
      </c>
      <c r="X233" s="13">
        <v>0.98</v>
      </c>
      <c r="Y233" s="13">
        <v>5.26</v>
      </c>
      <c r="Z233" s="13">
        <f t="shared" si="285"/>
        <v>6.24</v>
      </c>
      <c r="AB233" s="74">
        <v>1</v>
      </c>
      <c r="AC233" s="74" t="s">
        <v>459</v>
      </c>
      <c r="AD233" s="13">
        <v>1.26</v>
      </c>
      <c r="AE233" s="13">
        <v>6.78</v>
      </c>
      <c r="AF233" s="13">
        <f t="shared" ref="AF233" si="310">SUM(AD233:AE233)</f>
        <v>8.0400000000000009</v>
      </c>
      <c r="AH233" s="89">
        <f t="shared" si="287"/>
        <v>-0.38095238095238093</v>
      </c>
      <c r="AI233" s="89">
        <f t="shared" si="288"/>
        <v>-0.37905604719764019</v>
      </c>
      <c r="AJ233" s="89">
        <f t="shared" si="289"/>
        <v>-0.37935323383084585</v>
      </c>
    </row>
    <row r="234" spans="1:36" x14ac:dyDescent="0.3">
      <c r="A234" s="15">
        <v>17</v>
      </c>
      <c r="B234" s="16" t="s">
        <v>466</v>
      </c>
      <c r="C234" s="76"/>
      <c r="D234" s="58"/>
      <c r="E234" s="58"/>
      <c r="F234" s="58"/>
      <c r="G234" s="58"/>
      <c r="H234" s="24">
        <f t="shared" ref="H234:I234" si="311">SUM(H235:H245)</f>
        <v>549887.03999999992</v>
      </c>
      <c r="I234" s="24">
        <f t="shared" si="311"/>
        <v>476234.58</v>
      </c>
      <c r="J234" s="24">
        <f>SUM(J235:J245)</f>
        <v>1026121.62</v>
      </c>
      <c r="M234" s="54"/>
      <c r="N234" s="56"/>
      <c r="V234" s="75"/>
      <c r="W234" s="75"/>
      <c r="X234" s="23"/>
      <c r="Y234" s="23"/>
      <c r="Z234" s="23"/>
      <c r="AB234" s="75"/>
      <c r="AC234" s="75"/>
      <c r="AD234" s="23"/>
      <c r="AE234" s="23"/>
      <c r="AF234" s="23"/>
      <c r="AH234" s="89">
        <f t="shared" si="287"/>
        <v>0</v>
      </c>
      <c r="AI234" s="89">
        <f t="shared" si="288"/>
        <v>0</v>
      </c>
      <c r="AJ234" s="89">
        <f t="shared" si="289"/>
        <v>0</v>
      </c>
    </row>
    <row r="235" spans="1:36" x14ac:dyDescent="0.3">
      <c r="A235" s="17" t="s">
        <v>467</v>
      </c>
      <c r="B235" s="11" t="s">
        <v>468</v>
      </c>
      <c r="C235" s="12">
        <f t="shared" ref="C235:C245" si="312">V235</f>
        <v>3268</v>
      </c>
      <c r="D235" s="41" t="str">
        <f t="shared" ref="D235:D245" si="313">W235</f>
        <v>m²</v>
      </c>
      <c r="E235" s="41">
        <f>ROUND((X235*(1-$M$5))*(1+BDI!$C$21),2)</f>
        <v>7.45</v>
      </c>
      <c r="F235" s="41">
        <f>ROUND((Y235*(1-$N$5))*(1+BDI!$C$21),2)</f>
        <v>23.34</v>
      </c>
      <c r="G235" s="41">
        <f t="shared" si="225"/>
        <v>30.79</v>
      </c>
      <c r="H235" s="13">
        <f t="shared" ref="H235:H245" si="314">C235*E235</f>
        <v>24346.600000000002</v>
      </c>
      <c r="I235" s="13">
        <f t="shared" ref="I235:I245" si="315">C235*F235</f>
        <v>76275.12</v>
      </c>
      <c r="J235" s="14">
        <f t="shared" si="226"/>
        <v>100621.72</v>
      </c>
      <c r="M235" s="54"/>
      <c r="N235" s="56"/>
      <c r="V235" s="74">
        <v>3268</v>
      </c>
      <c r="W235" s="74" t="s">
        <v>59</v>
      </c>
      <c r="X235" s="13">
        <v>9.31</v>
      </c>
      <c r="Y235" s="13">
        <v>29.16</v>
      </c>
      <c r="Z235" s="13">
        <f t="shared" ref="Z235:Z245" si="316">SUM(X235:Y235)</f>
        <v>38.47</v>
      </c>
      <c r="AB235" s="74">
        <v>3268</v>
      </c>
      <c r="AC235" s="74" t="s">
        <v>59</v>
      </c>
      <c r="AD235" s="13">
        <v>11.99</v>
      </c>
      <c r="AE235" s="13">
        <v>37.56</v>
      </c>
      <c r="AF235" s="13">
        <f t="shared" ref="AF235:AF245" si="317">SUM(AD235:AE235)</f>
        <v>49.550000000000004</v>
      </c>
      <c r="AH235" s="89">
        <f t="shared" si="287"/>
        <v>-0.3786488740617181</v>
      </c>
      <c r="AI235" s="89">
        <f t="shared" si="288"/>
        <v>-0.37859424920127804</v>
      </c>
      <c r="AJ235" s="89">
        <f t="shared" si="289"/>
        <v>-0.37860746720484362</v>
      </c>
    </row>
    <row r="236" spans="1:36" x14ac:dyDescent="0.3">
      <c r="A236" s="17" t="s">
        <v>469</v>
      </c>
      <c r="B236" s="11" t="s">
        <v>470</v>
      </c>
      <c r="C236" s="12">
        <f t="shared" si="312"/>
        <v>2224</v>
      </c>
      <c r="D236" s="41" t="str">
        <f t="shared" si="313"/>
        <v>m²</v>
      </c>
      <c r="E236" s="41">
        <f>ROUND((X236*(1-$M$5))*(1+BDI!$C$21),2)</f>
        <v>3.19</v>
      </c>
      <c r="F236" s="41">
        <f>ROUND((Y236*(1-$N$5))*(1+BDI!$C$21),2)</f>
        <v>11.89</v>
      </c>
      <c r="G236" s="41">
        <f t="shared" si="225"/>
        <v>15.08</v>
      </c>
      <c r="H236" s="13">
        <f t="shared" si="314"/>
        <v>7094.5599999999995</v>
      </c>
      <c r="I236" s="13">
        <f t="shared" si="315"/>
        <v>26443.360000000001</v>
      </c>
      <c r="J236" s="14">
        <f t="shared" si="226"/>
        <v>33537.919999999998</v>
      </c>
      <c r="M236" s="54"/>
      <c r="N236" s="56"/>
      <c r="V236" s="74">
        <v>2224</v>
      </c>
      <c r="W236" s="74" t="s">
        <v>59</v>
      </c>
      <c r="X236" s="13">
        <v>3.98</v>
      </c>
      <c r="Y236" s="13">
        <v>14.85</v>
      </c>
      <c r="Z236" s="13">
        <f t="shared" si="316"/>
        <v>18.829999999999998</v>
      </c>
      <c r="AB236" s="74">
        <v>2224</v>
      </c>
      <c r="AC236" s="74" t="s">
        <v>59</v>
      </c>
      <c r="AD236" s="13">
        <v>5.13</v>
      </c>
      <c r="AE236" s="13">
        <v>19.13</v>
      </c>
      <c r="AF236" s="13">
        <f t="shared" si="317"/>
        <v>24.259999999999998</v>
      </c>
      <c r="AH236" s="89">
        <f t="shared" si="287"/>
        <v>-0.37816764132553604</v>
      </c>
      <c r="AI236" s="89">
        <f t="shared" si="288"/>
        <v>-0.37846314688970195</v>
      </c>
      <c r="AJ236" s="89">
        <f t="shared" si="289"/>
        <v>-0.37840065952184665</v>
      </c>
    </row>
    <row r="237" spans="1:36" x14ac:dyDescent="0.3">
      <c r="A237" s="17" t="s">
        <v>471</v>
      </c>
      <c r="B237" s="11" t="s">
        <v>472</v>
      </c>
      <c r="C237" s="12">
        <f t="shared" si="312"/>
        <v>100</v>
      </c>
      <c r="D237" s="41" t="str">
        <f t="shared" si="313"/>
        <v>m²</v>
      </c>
      <c r="E237" s="41">
        <f>ROUND((X237*(1-$M$5))*(1+BDI!$C$21),2)</f>
        <v>13.06</v>
      </c>
      <c r="F237" s="41">
        <f>ROUND((Y237*(1-$N$5))*(1+BDI!$C$21),2)</f>
        <v>6.26</v>
      </c>
      <c r="G237" s="41">
        <f t="shared" si="225"/>
        <v>19.32</v>
      </c>
      <c r="H237" s="13">
        <f t="shared" si="314"/>
        <v>1306</v>
      </c>
      <c r="I237" s="13">
        <f t="shared" si="315"/>
        <v>626</v>
      </c>
      <c r="J237" s="14">
        <f t="shared" si="226"/>
        <v>1932</v>
      </c>
      <c r="M237" s="54"/>
      <c r="N237" s="56"/>
      <c r="V237" s="74">
        <v>100</v>
      </c>
      <c r="W237" s="74" t="s">
        <v>59</v>
      </c>
      <c r="X237" s="13">
        <v>16.309999999999999</v>
      </c>
      <c r="Y237" s="13">
        <v>7.82</v>
      </c>
      <c r="Z237" s="13">
        <f t="shared" si="316"/>
        <v>24.13</v>
      </c>
      <c r="AB237" s="74">
        <v>100</v>
      </c>
      <c r="AC237" s="74" t="s">
        <v>59</v>
      </c>
      <c r="AD237" s="13">
        <v>21.01</v>
      </c>
      <c r="AE237" s="13">
        <v>10.07</v>
      </c>
      <c r="AF237" s="13">
        <f t="shared" si="317"/>
        <v>31.080000000000002</v>
      </c>
      <c r="AH237" s="89">
        <f t="shared" si="287"/>
        <v>-0.37839124226558785</v>
      </c>
      <c r="AI237" s="89">
        <f t="shared" si="288"/>
        <v>-0.37835153922542208</v>
      </c>
      <c r="AJ237" s="89">
        <f t="shared" si="289"/>
        <v>-0.3783783783783784</v>
      </c>
    </row>
    <row r="238" spans="1:36" ht="28.8" x14ac:dyDescent="0.3">
      <c r="A238" s="17" t="s">
        <v>473</v>
      </c>
      <c r="B238" s="11" t="s">
        <v>474</v>
      </c>
      <c r="C238" s="12">
        <f t="shared" si="312"/>
        <v>7705</v>
      </c>
      <c r="D238" s="41" t="str">
        <f t="shared" si="313"/>
        <v>m²</v>
      </c>
      <c r="E238" s="41">
        <f>ROUND((X238*(1-$M$5))*(1+BDI!$C$21),2)</f>
        <v>6.11</v>
      </c>
      <c r="F238" s="41">
        <f>ROUND((Y238*(1-$N$5))*(1+BDI!$C$21),2)</f>
        <v>6.56</v>
      </c>
      <c r="G238" s="41">
        <f t="shared" si="225"/>
        <v>12.67</v>
      </c>
      <c r="H238" s="13">
        <f t="shared" si="314"/>
        <v>47077.55</v>
      </c>
      <c r="I238" s="13">
        <f t="shared" si="315"/>
        <v>50544.799999999996</v>
      </c>
      <c r="J238" s="14">
        <f t="shared" si="226"/>
        <v>97622.35</v>
      </c>
      <c r="M238" s="54"/>
      <c r="N238" s="56"/>
      <c r="V238" s="74">
        <v>7705</v>
      </c>
      <c r="W238" s="74" t="s">
        <v>59</v>
      </c>
      <c r="X238" s="13">
        <v>7.63</v>
      </c>
      <c r="Y238" s="13">
        <v>8.19</v>
      </c>
      <c r="Z238" s="13">
        <f t="shared" si="316"/>
        <v>15.82</v>
      </c>
      <c r="AB238" s="74">
        <v>7705</v>
      </c>
      <c r="AC238" s="74" t="s">
        <v>59</v>
      </c>
      <c r="AD238" s="13">
        <v>9.83</v>
      </c>
      <c r="AE238" s="13">
        <v>10.55</v>
      </c>
      <c r="AF238" s="13">
        <f t="shared" si="317"/>
        <v>20.380000000000003</v>
      </c>
      <c r="AH238" s="89">
        <f t="shared" si="287"/>
        <v>-0.37843336724313326</v>
      </c>
      <c r="AI238" s="89">
        <f t="shared" si="288"/>
        <v>-0.37819905213270155</v>
      </c>
      <c r="AJ238" s="89">
        <f t="shared" si="289"/>
        <v>-0.37831207065750749</v>
      </c>
    </row>
    <row r="239" spans="1:36" x14ac:dyDescent="0.3">
      <c r="A239" s="17" t="s">
        <v>475</v>
      </c>
      <c r="B239" s="11" t="s">
        <v>476</v>
      </c>
      <c r="C239" s="12">
        <f t="shared" si="312"/>
        <v>1183</v>
      </c>
      <c r="D239" s="41" t="str">
        <f t="shared" si="313"/>
        <v>m²</v>
      </c>
      <c r="E239" s="41">
        <f>ROUND((X239*(1-$M$5))*(1+BDI!$C$21),2)</f>
        <v>4.67</v>
      </c>
      <c r="F239" s="41">
        <f>ROUND((Y239*(1-$N$5))*(1+BDI!$C$21),2)</f>
        <v>11.89</v>
      </c>
      <c r="G239" s="41">
        <f t="shared" si="225"/>
        <v>16.560000000000002</v>
      </c>
      <c r="H239" s="13">
        <f t="shared" si="314"/>
        <v>5524.61</v>
      </c>
      <c r="I239" s="13">
        <f t="shared" si="315"/>
        <v>14065.87</v>
      </c>
      <c r="J239" s="14">
        <f t="shared" si="226"/>
        <v>19590.480000000003</v>
      </c>
      <c r="M239" s="54"/>
      <c r="N239" s="56"/>
      <c r="V239" s="74">
        <v>1183</v>
      </c>
      <c r="W239" s="74" t="s">
        <v>59</v>
      </c>
      <c r="X239" s="13">
        <v>5.84</v>
      </c>
      <c r="Y239" s="13">
        <v>14.85</v>
      </c>
      <c r="Z239" s="13">
        <f t="shared" si="316"/>
        <v>20.689999999999998</v>
      </c>
      <c r="AB239" s="74">
        <v>1183</v>
      </c>
      <c r="AC239" s="74" t="s">
        <v>59</v>
      </c>
      <c r="AD239" s="13">
        <v>7.52</v>
      </c>
      <c r="AE239" s="13">
        <v>19.13</v>
      </c>
      <c r="AF239" s="13">
        <f t="shared" si="317"/>
        <v>26.65</v>
      </c>
      <c r="AH239" s="89">
        <f t="shared" si="287"/>
        <v>-0.3789893617021276</v>
      </c>
      <c r="AI239" s="89">
        <f t="shared" si="288"/>
        <v>-0.37846314688970195</v>
      </c>
      <c r="AJ239" s="89">
        <f t="shared" si="289"/>
        <v>-0.3786116322701687</v>
      </c>
    </row>
    <row r="240" spans="1:36" ht="28.8" x14ac:dyDescent="0.3">
      <c r="A240" s="17" t="s">
        <v>477</v>
      </c>
      <c r="B240" s="11" t="s">
        <v>478</v>
      </c>
      <c r="C240" s="12">
        <f t="shared" si="312"/>
        <v>35291</v>
      </c>
      <c r="D240" s="41" t="str">
        <f t="shared" si="313"/>
        <v>m²</v>
      </c>
      <c r="E240" s="41">
        <f>ROUND((X240*(1-$M$5))*(1+BDI!$C$21),2)</f>
        <v>12.41</v>
      </c>
      <c r="F240" s="41">
        <f>ROUND((Y240*(1-$N$5))*(1+BDI!$C$21),2)</f>
        <v>7.52</v>
      </c>
      <c r="G240" s="41">
        <f t="shared" si="225"/>
        <v>19.93</v>
      </c>
      <c r="H240" s="13">
        <f t="shared" si="314"/>
        <v>437961.31</v>
      </c>
      <c r="I240" s="13">
        <f t="shared" si="315"/>
        <v>265388.32</v>
      </c>
      <c r="J240" s="14">
        <f t="shared" si="226"/>
        <v>703349.63</v>
      </c>
      <c r="M240" s="54"/>
      <c r="N240" s="56"/>
      <c r="V240" s="74">
        <v>35291</v>
      </c>
      <c r="W240" s="74" t="s">
        <v>59</v>
      </c>
      <c r="X240" s="13">
        <v>15.5</v>
      </c>
      <c r="Y240" s="13">
        <v>9.4</v>
      </c>
      <c r="Z240" s="13">
        <f t="shared" si="316"/>
        <v>24.9</v>
      </c>
      <c r="AB240" s="74">
        <v>35291</v>
      </c>
      <c r="AC240" s="74" t="s">
        <v>59</v>
      </c>
      <c r="AD240" s="13">
        <v>19.97</v>
      </c>
      <c r="AE240" s="13">
        <v>12.11</v>
      </c>
      <c r="AF240" s="13">
        <f t="shared" si="317"/>
        <v>32.08</v>
      </c>
      <c r="AH240" s="89">
        <f t="shared" si="287"/>
        <v>-0.3785678517776665</v>
      </c>
      <c r="AI240" s="89">
        <f t="shared" si="288"/>
        <v>-0.37902559867877783</v>
      </c>
      <c r="AJ240" s="89">
        <f t="shared" si="289"/>
        <v>-0.3787406483790523</v>
      </c>
    </row>
    <row r="241" spans="1:36" x14ac:dyDescent="0.3">
      <c r="A241" s="17" t="s">
        <v>479</v>
      </c>
      <c r="B241" s="11" t="s">
        <v>480</v>
      </c>
      <c r="C241" s="12">
        <f t="shared" ref="C241:C242" si="318">V241</f>
        <v>1078</v>
      </c>
      <c r="D241" s="41" t="str">
        <f t="shared" ref="D241:D242" si="319">W241</f>
        <v>m²</v>
      </c>
      <c r="E241" s="41">
        <f>ROUND((X241*(1-$M$5))*(1+BDI!$C$21),2)</f>
        <v>14.37</v>
      </c>
      <c r="F241" s="41">
        <f>ROUND((Y241*(1-$N$5))*(1+BDI!$C$21),2)</f>
        <v>17.62</v>
      </c>
      <c r="G241" s="41">
        <f t="shared" ref="G241:G242" si="320">F241+E241</f>
        <v>31.990000000000002</v>
      </c>
      <c r="H241" s="13">
        <f t="shared" ref="H241:H242" si="321">C241*E241</f>
        <v>15490.859999999999</v>
      </c>
      <c r="I241" s="13">
        <f t="shared" ref="I241:I242" si="322">C241*F241</f>
        <v>18994.36</v>
      </c>
      <c r="J241" s="14">
        <f t="shared" ref="J241:J242" si="323">SUM(E241:F241)*C241</f>
        <v>34485.22</v>
      </c>
      <c r="M241" s="54"/>
      <c r="N241" s="56"/>
      <c r="V241" s="74">
        <v>1078</v>
      </c>
      <c r="W241" s="74" t="s">
        <v>59</v>
      </c>
      <c r="X241" s="13">
        <v>17.95</v>
      </c>
      <c r="Y241" s="13">
        <v>22.01</v>
      </c>
      <c r="Z241" s="13">
        <f t="shared" ref="Z241:Z242" si="324">SUM(X241:Y241)</f>
        <v>39.96</v>
      </c>
      <c r="AB241" s="74">
        <v>1078</v>
      </c>
      <c r="AC241" s="74" t="s">
        <v>59</v>
      </c>
      <c r="AD241" s="13">
        <v>23.12</v>
      </c>
      <c r="AE241" s="13">
        <v>28.35</v>
      </c>
      <c r="AF241" s="13">
        <f t="shared" ref="AF241:AF242" si="325">SUM(AD241:AE241)</f>
        <v>51.47</v>
      </c>
      <c r="AH241" s="89">
        <f t="shared" ref="AH241:AH242" si="326">IF(E241=0,0,(E241/AD241)-1)</f>
        <v>-0.3784602076124568</v>
      </c>
      <c r="AI241" s="89">
        <f t="shared" ref="AI241:AI242" si="327">IF(F241=0,0,(F241/AE241)-1)</f>
        <v>-0.37848324514991183</v>
      </c>
      <c r="AJ241" s="89">
        <f t="shared" ref="AJ241:AJ242" si="328">IF(G241=0,0,(G241/AF241)-1)</f>
        <v>-0.37847289683310659</v>
      </c>
    </row>
    <row r="242" spans="1:36" ht="28.8" x14ac:dyDescent="0.3">
      <c r="A242" s="17" t="s">
        <v>481</v>
      </c>
      <c r="B242" s="11" t="s">
        <v>482</v>
      </c>
      <c r="C242" s="12">
        <f t="shared" si="318"/>
        <v>881</v>
      </c>
      <c r="D242" s="41" t="str">
        <f t="shared" si="319"/>
        <v>m²</v>
      </c>
      <c r="E242" s="41">
        <f>ROUND((X242*(1-$M$5))*(1+BDI!$C$21),2)</f>
        <v>5.72</v>
      </c>
      <c r="F242" s="41">
        <f>ROUND((Y242*(1-$N$5))*(1+BDI!$C$21),2)</f>
        <v>19.75</v>
      </c>
      <c r="G242" s="41">
        <f t="shared" si="320"/>
        <v>25.47</v>
      </c>
      <c r="H242" s="13">
        <f t="shared" si="321"/>
        <v>5039.32</v>
      </c>
      <c r="I242" s="13">
        <f t="shared" si="322"/>
        <v>17399.75</v>
      </c>
      <c r="J242" s="14">
        <f t="shared" si="323"/>
        <v>22439.07</v>
      </c>
      <c r="M242" s="54"/>
      <c r="N242" s="56"/>
      <c r="V242" s="74">
        <v>881</v>
      </c>
      <c r="W242" s="74" t="s">
        <v>59</v>
      </c>
      <c r="X242" s="13">
        <v>7.15</v>
      </c>
      <c r="Y242" s="13">
        <v>24.67</v>
      </c>
      <c r="Z242" s="13">
        <f t="shared" si="324"/>
        <v>31.82</v>
      </c>
      <c r="AB242" s="74">
        <v>881</v>
      </c>
      <c r="AC242" s="74" t="s">
        <v>59</v>
      </c>
      <c r="AD242" s="13">
        <v>9.2100000000000009</v>
      </c>
      <c r="AE242" s="13">
        <v>31.78</v>
      </c>
      <c r="AF242" s="13">
        <f t="shared" si="325"/>
        <v>40.99</v>
      </c>
      <c r="AH242" s="89">
        <f t="shared" si="326"/>
        <v>-0.37893593919652557</v>
      </c>
      <c r="AI242" s="89">
        <f t="shared" si="327"/>
        <v>-0.37853996224040276</v>
      </c>
      <c r="AJ242" s="89">
        <f t="shared" si="328"/>
        <v>-0.3786289338863138</v>
      </c>
    </row>
    <row r="243" spans="1:36" x14ac:dyDescent="0.3">
      <c r="A243" s="17" t="s">
        <v>483</v>
      </c>
      <c r="B243" s="11" t="s">
        <v>484</v>
      </c>
      <c r="C243" s="12">
        <f t="shared" si="312"/>
        <v>347</v>
      </c>
      <c r="D243" s="41" t="str">
        <f t="shared" si="313"/>
        <v>m²</v>
      </c>
      <c r="E243" s="41">
        <f>ROUND((X243*(1-$M$5))*(1+BDI!$C$21),2)</f>
        <v>17.37</v>
      </c>
      <c r="F243" s="41">
        <f>ROUND((Y243*(1-$N$5))*(1+BDI!$C$21),2)</f>
        <v>18.68</v>
      </c>
      <c r="G243" s="41">
        <f t="shared" si="225"/>
        <v>36.049999999999997</v>
      </c>
      <c r="H243" s="13">
        <f t="shared" si="314"/>
        <v>6027.39</v>
      </c>
      <c r="I243" s="13">
        <f t="shared" si="315"/>
        <v>6481.96</v>
      </c>
      <c r="J243" s="14">
        <f t="shared" si="226"/>
        <v>12509.349999999999</v>
      </c>
      <c r="M243" s="54"/>
      <c r="N243" s="56"/>
      <c r="V243" s="74">
        <v>347</v>
      </c>
      <c r="W243" s="74" t="s">
        <v>59</v>
      </c>
      <c r="X243" s="13">
        <v>21.7</v>
      </c>
      <c r="Y243" s="13">
        <v>23.33</v>
      </c>
      <c r="Z243" s="13">
        <f t="shared" si="316"/>
        <v>45.03</v>
      </c>
      <c r="AB243" s="74">
        <v>347</v>
      </c>
      <c r="AC243" s="74" t="s">
        <v>59</v>
      </c>
      <c r="AD243" s="13">
        <v>27.95</v>
      </c>
      <c r="AE243" s="13">
        <v>30.05</v>
      </c>
      <c r="AF243" s="13">
        <f t="shared" si="317"/>
        <v>58</v>
      </c>
      <c r="AH243" s="89">
        <f t="shared" si="287"/>
        <v>-0.37853309481216457</v>
      </c>
      <c r="AI243" s="89">
        <f t="shared" si="288"/>
        <v>-0.37836938435940104</v>
      </c>
      <c r="AJ243" s="89">
        <f t="shared" si="289"/>
        <v>-0.37844827586206897</v>
      </c>
    </row>
    <row r="244" spans="1:36" ht="28.8" x14ac:dyDescent="0.3">
      <c r="A244" s="17" t="s">
        <v>485</v>
      </c>
      <c r="B244" s="11" t="s">
        <v>486</v>
      </c>
      <c r="C244" s="12">
        <f t="shared" si="312"/>
        <v>1</v>
      </c>
      <c r="D244" s="41" t="str">
        <f t="shared" si="313"/>
        <v>m²</v>
      </c>
      <c r="E244" s="41">
        <f>ROUND((X244*(1-$M$5))*(1+BDI!$C$21),2)</f>
        <v>3.82</v>
      </c>
      <c r="F244" s="41">
        <f>ROUND((Y244*(1-$N$5))*(1+BDI!$C$21),2)</f>
        <v>7.52</v>
      </c>
      <c r="G244" s="41">
        <f t="shared" si="225"/>
        <v>11.34</v>
      </c>
      <c r="H244" s="13">
        <f t="shared" si="314"/>
        <v>3.82</v>
      </c>
      <c r="I244" s="13">
        <f t="shared" si="315"/>
        <v>7.52</v>
      </c>
      <c r="J244" s="14">
        <f t="shared" si="226"/>
        <v>11.34</v>
      </c>
      <c r="M244" s="54"/>
      <c r="N244" s="56"/>
      <c r="V244" s="74">
        <v>1</v>
      </c>
      <c r="W244" s="74" t="s">
        <v>59</v>
      </c>
      <c r="X244" s="13">
        <v>4.7699999999999996</v>
      </c>
      <c r="Y244" s="13">
        <v>9.4</v>
      </c>
      <c r="Z244" s="13">
        <f t="shared" si="316"/>
        <v>14.17</v>
      </c>
      <c r="AB244" s="74">
        <v>1</v>
      </c>
      <c r="AC244" s="74" t="s">
        <v>59</v>
      </c>
      <c r="AD244" s="13">
        <v>6.14</v>
      </c>
      <c r="AE244" s="13">
        <v>12.11</v>
      </c>
      <c r="AF244" s="13">
        <f t="shared" si="317"/>
        <v>18.25</v>
      </c>
      <c r="AH244" s="89">
        <f t="shared" si="287"/>
        <v>-0.37785016286644946</v>
      </c>
      <c r="AI244" s="89">
        <f t="shared" si="288"/>
        <v>-0.37902559867877783</v>
      </c>
      <c r="AJ244" s="89">
        <f t="shared" si="289"/>
        <v>-0.37863013698630132</v>
      </c>
    </row>
    <row r="245" spans="1:36" ht="28.8" x14ac:dyDescent="0.3">
      <c r="A245" s="17" t="s">
        <v>487</v>
      </c>
      <c r="B245" s="11" t="s">
        <v>488</v>
      </c>
      <c r="C245" s="12">
        <f t="shared" si="312"/>
        <v>1</v>
      </c>
      <c r="D245" s="41" t="str">
        <f t="shared" si="313"/>
        <v>m²</v>
      </c>
      <c r="E245" s="41">
        <f>ROUND((X245*(1-$M$5))*(1+BDI!$C$21),2)</f>
        <v>15.02</v>
      </c>
      <c r="F245" s="41">
        <f>ROUND((Y245*(1-$N$5))*(1+BDI!$C$21),2)</f>
        <v>7.52</v>
      </c>
      <c r="G245" s="41">
        <f t="shared" si="225"/>
        <v>22.54</v>
      </c>
      <c r="H245" s="13">
        <f t="shared" si="314"/>
        <v>15.02</v>
      </c>
      <c r="I245" s="13">
        <f t="shared" si="315"/>
        <v>7.52</v>
      </c>
      <c r="J245" s="14">
        <f t="shared" si="226"/>
        <v>22.54</v>
      </c>
      <c r="M245" s="54"/>
      <c r="N245" s="55"/>
      <c r="V245" s="74">
        <v>1</v>
      </c>
      <c r="W245" s="74" t="s">
        <v>59</v>
      </c>
      <c r="X245" s="13">
        <v>18.760000000000002</v>
      </c>
      <c r="Y245" s="13">
        <v>9.4</v>
      </c>
      <c r="Z245" s="13">
        <f t="shared" si="316"/>
        <v>28.160000000000004</v>
      </c>
      <c r="AB245" s="74">
        <v>1</v>
      </c>
      <c r="AC245" s="74" t="s">
        <v>59</v>
      </c>
      <c r="AD245" s="13">
        <v>24.17</v>
      </c>
      <c r="AE245" s="13">
        <v>12.11</v>
      </c>
      <c r="AF245" s="13">
        <f t="shared" si="317"/>
        <v>36.28</v>
      </c>
      <c r="AH245" s="89">
        <f t="shared" si="287"/>
        <v>-0.37856847331402577</v>
      </c>
      <c r="AI245" s="89">
        <f t="shared" si="288"/>
        <v>-0.37902559867877783</v>
      </c>
      <c r="AJ245" s="89">
        <f t="shared" si="289"/>
        <v>-0.37872105843439918</v>
      </c>
    </row>
    <row r="246" spans="1:36" x14ac:dyDescent="0.3">
      <c r="A246" s="15">
        <v>18</v>
      </c>
      <c r="B246" s="16" t="s">
        <v>489</v>
      </c>
      <c r="C246" s="76"/>
      <c r="D246" s="58"/>
      <c r="E246" s="58"/>
      <c r="F246" s="58"/>
      <c r="G246" s="58"/>
      <c r="H246" s="23">
        <v>0</v>
      </c>
      <c r="I246" s="23">
        <v>0</v>
      </c>
      <c r="J246" s="24">
        <v>0</v>
      </c>
      <c r="M246" s="54"/>
      <c r="N246" s="56"/>
      <c r="V246" s="75"/>
      <c r="W246" s="75"/>
      <c r="X246" s="23"/>
      <c r="Y246" s="23"/>
      <c r="Z246" s="23"/>
      <c r="AB246" s="75"/>
      <c r="AC246" s="75"/>
      <c r="AD246" s="23"/>
      <c r="AE246" s="23"/>
      <c r="AF246" s="23"/>
      <c r="AH246" s="89">
        <f t="shared" si="287"/>
        <v>0</v>
      </c>
      <c r="AI246" s="89">
        <f t="shared" si="288"/>
        <v>0</v>
      </c>
      <c r="AJ246" s="89">
        <f t="shared" si="289"/>
        <v>0</v>
      </c>
    </row>
    <row r="247" spans="1:36" x14ac:dyDescent="0.3">
      <c r="A247" s="15">
        <v>19</v>
      </c>
      <c r="B247" s="16" t="s">
        <v>490</v>
      </c>
      <c r="C247" s="76"/>
      <c r="D247" s="58"/>
      <c r="E247" s="58"/>
      <c r="F247" s="58"/>
      <c r="G247" s="58"/>
      <c r="H247" s="24">
        <f>SUM(H248:H378)</f>
        <v>1140952.5599999994</v>
      </c>
      <c r="I247" s="24">
        <f>SUM(I248:I378)</f>
        <v>450907.46000000008</v>
      </c>
      <c r="J247" s="24">
        <f>SUM(J248:J378)</f>
        <v>1591860.0200000009</v>
      </c>
      <c r="M247" s="54"/>
      <c r="N247" s="56"/>
      <c r="V247" s="75"/>
      <c r="W247" s="75"/>
      <c r="X247" s="23"/>
      <c r="Y247" s="23"/>
      <c r="Z247" s="23"/>
      <c r="AB247" s="75"/>
      <c r="AC247" s="75"/>
      <c r="AD247" s="23"/>
      <c r="AE247" s="23"/>
      <c r="AF247" s="23"/>
      <c r="AH247" s="89">
        <f t="shared" si="287"/>
        <v>0</v>
      </c>
      <c r="AI247" s="89">
        <f t="shared" si="288"/>
        <v>0</v>
      </c>
      <c r="AJ247" s="89">
        <f t="shared" si="289"/>
        <v>0</v>
      </c>
    </row>
    <row r="248" spans="1:36" x14ac:dyDescent="0.3">
      <c r="A248" s="17" t="s">
        <v>491</v>
      </c>
      <c r="B248" s="44" t="s">
        <v>492</v>
      </c>
      <c r="C248" s="12">
        <f>V248</f>
        <v>87</v>
      </c>
      <c r="D248" s="41" t="str">
        <f>W248</f>
        <v>UN</v>
      </c>
      <c r="E248" s="41">
        <f>ROUND((X248*(1-$M$5))*(1+BDI!$C$21),2)</f>
        <v>30.15</v>
      </c>
      <c r="F248" s="41">
        <f>ROUND((Y248*(1-$N$5))*(1+BDI!$C$21),2)</f>
        <v>22.66</v>
      </c>
      <c r="G248" s="41">
        <f t="shared" si="225"/>
        <v>52.81</v>
      </c>
      <c r="H248" s="13">
        <f t="shared" ref="H248:H311" si="329">C248*E248</f>
        <v>2623.0499999999997</v>
      </c>
      <c r="I248" s="13">
        <f t="shared" ref="I248:I311" si="330">C248*F248</f>
        <v>1971.42</v>
      </c>
      <c r="J248" s="14">
        <f t="shared" ref="J248:J311" si="331">SUM(E248:F248)*C248</f>
        <v>4594.47</v>
      </c>
      <c r="M248" s="54"/>
      <c r="N248" s="56"/>
      <c r="V248" s="74">
        <v>87</v>
      </c>
      <c r="W248" s="74" t="s">
        <v>46</v>
      </c>
      <c r="X248" s="13">
        <v>37.67</v>
      </c>
      <c r="Y248" s="13">
        <v>28.31</v>
      </c>
      <c r="Z248" s="13">
        <f t="shared" ref="Z248:Z279" si="332">SUM(X248:Y248)</f>
        <v>65.98</v>
      </c>
      <c r="AB248" s="74">
        <v>87</v>
      </c>
      <c r="AC248" s="74" t="s">
        <v>46</v>
      </c>
      <c r="AD248" s="13">
        <v>48.53</v>
      </c>
      <c r="AE248" s="13">
        <v>36.47</v>
      </c>
      <c r="AF248" s="13">
        <f t="shared" ref="AF248:AF279" si="333">SUM(AD248:AE248)</f>
        <v>85</v>
      </c>
      <c r="AH248" s="89">
        <f t="shared" si="287"/>
        <v>-0.37873480321450659</v>
      </c>
      <c r="AI248" s="89">
        <f t="shared" si="288"/>
        <v>-0.37866739786125581</v>
      </c>
      <c r="AJ248" s="89">
        <f t="shared" si="289"/>
        <v>-0.37870588235294111</v>
      </c>
    </row>
    <row r="249" spans="1:36" x14ac:dyDescent="0.3">
      <c r="A249" s="17" t="s">
        <v>493</v>
      </c>
      <c r="B249" s="44" t="s">
        <v>494</v>
      </c>
      <c r="C249" s="12">
        <f>V249</f>
        <v>1134</v>
      </c>
      <c r="D249" s="41" t="str">
        <f>W249</f>
        <v>m</v>
      </c>
      <c r="E249" s="41">
        <f>ROUND((X249*(1-$M$5))*(1+BDI!$C$21),2)</f>
        <v>15.23</v>
      </c>
      <c r="F249" s="41">
        <f>ROUND((Y249*(1-$N$5))*(1+BDI!$C$21),2)</f>
        <v>5.4</v>
      </c>
      <c r="G249" s="41">
        <f t="shared" si="225"/>
        <v>20.630000000000003</v>
      </c>
      <c r="H249" s="13">
        <f t="shared" si="329"/>
        <v>17270.82</v>
      </c>
      <c r="I249" s="13">
        <f t="shared" si="330"/>
        <v>6123.6</v>
      </c>
      <c r="J249" s="14">
        <f t="shared" si="331"/>
        <v>23394.420000000002</v>
      </c>
      <c r="M249" s="54"/>
      <c r="N249" s="56"/>
      <c r="V249" s="74">
        <v>1134</v>
      </c>
      <c r="W249" s="74" t="s">
        <v>75</v>
      </c>
      <c r="X249" s="13">
        <v>19.03</v>
      </c>
      <c r="Y249" s="13">
        <v>6.74</v>
      </c>
      <c r="Z249" s="13">
        <f t="shared" si="332"/>
        <v>25.770000000000003</v>
      </c>
      <c r="AB249" s="74">
        <v>1134</v>
      </c>
      <c r="AC249" s="74" t="s">
        <v>75</v>
      </c>
      <c r="AD249" s="13">
        <v>24.51</v>
      </c>
      <c r="AE249" s="13">
        <v>8.68</v>
      </c>
      <c r="AF249" s="13">
        <f t="shared" si="333"/>
        <v>33.19</v>
      </c>
      <c r="AH249" s="89">
        <f t="shared" si="287"/>
        <v>-0.3786209710322318</v>
      </c>
      <c r="AI249" s="89">
        <f t="shared" si="288"/>
        <v>-0.37788018433179715</v>
      </c>
      <c r="AJ249" s="89">
        <f t="shared" si="289"/>
        <v>-0.37842723711961423</v>
      </c>
    </row>
    <row r="250" spans="1:36" x14ac:dyDescent="0.3">
      <c r="A250" s="17" t="s">
        <v>495</v>
      </c>
      <c r="B250" s="44" t="s">
        <v>496</v>
      </c>
      <c r="C250" s="12">
        <f t="shared" ref="C250:C313" si="334">V250</f>
        <v>259</v>
      </c>
      <c r="D250" s="41" t="str">
        <f t="shared" ref="D250:D313" si="335">W250</f>
        <v>UN</v>
      </c>
      <c r="E250" s="41">
        <f>ROUND((X250*(1-$M$5))*(1+BDI!$C$21),2)</f>
        <v>10.85</v>
      </c>
      <c r="F250" s="41">
        <f>ROUND((Y250*(1-$N$5))*(1+BDI!$C$21),2)</f>
        <v>11.33</v>
      </c>
      <c r="G250" s="41">
        <f t="shared" si="225"/>
        <v>22.18</v>
      </c>
      <c r="H250" s="13">
        <f t="shared" si="329"/>
        <v>2810.15</v>
      </c>
      <c r="I250" s="13">
        <f t="shared" si="330"/>
        <v>2934.47</v>
      </c>
      <c r="J250" s="14">
        <f t="shared" si="331"/>
        <v>5744.62</v>
      </c>
      <c r="M250" s="54"/>
      <c r="N250" s="56"/>
      <c r="V250" s="74">
        <v>259</v>
      </c>
      <c r="W250" s="74" t="s">
        <v>46</v>
      </c>
      <c r="X250" s="13">
        <v>13.55</v>
      </c>
      <c r="Y250" s="13">
        <v>14.15</v>
      </c>
      <c r="Z250" s="13">
        <f t="shared" si="332"/>
        <v>27.700000000000003</v>
      </c>
      <c r="AB250" s="74">
        <v>259</v>
      </c>
      <c r="AC250" s="74" t="s">
        <v>46</v>
      </c>
      <c r="AD250" s="13">
        <v>17.46</v>
      </c>
      <c r="AE250" s="13">
        <v>18.23</v>
      </c>
      <c r="AF250" s="13">
        <f t="shared" si="333"/>
        <v>35.69</v>
      </c>
      <c r="AH250" s="89">
        <f t="shared" si="287"/>
        <v>-0.37857961053837352</v>
      </c>
      <c r="AI250" s="89">
        <f t="shared" si="288"/>
        <v>-0.37849698299506307</v>
      </c>
      <c r="AJ250" s="89">
        <f t="shared" si="289"/>
        <v>-0.37853740543569625</v>
      </c>
    </row>
    <row r="251" spans="1:36" x14ac:dyDescent="0.3">
      <c r="A251" s="17" t="s">
        <v>497</v>
      </c>
      <c r="B251" s="44" t="s">
        <v>498</v>
      </c>
      <c r="C251" s="12">
        <f t="shared" si="334"/>
        <v>3299</v>
      </c>
      <c r="D251" s="41" t="str">
        <f t="shared" si="335"/>
        <v>m</v>
      </c>
      <c r="E251" s="41">
        <f>ROUND((X251*(1-$M$5))*(1+BDI!$C$21),2)</f>
        <v>35.6</v>
      </c>
      <c r="F251" s="41">
        <f>ROUND((Y251*(1-$N$5))*(1+BDI!$C$21),2)</f>
        <v>5.4</v>
      </c>
      <c r="G251" s="41">
        <f t="shared" si="225"/>
        <v>41</v>
      </c>
      <c r="H251" s="13">
        <f t="shared" si="329"/>
        <v>117444.40000000001</v>
      </c>
      <c r="I251" s="13">
        <f t="shared" si="330"/>
        <v>17814.600000000002</v>
      </c>
      <c r="J251" s="14">
        <f t="shared" si="331"/>
        <v>135259</v>
      </c>
      <c r="M251" s="54"/>
      <c r="N251" s="56"/>
      <c r="V251" s="74">
        <v>3299</v>
      </c>
      <c r="W251" s="74" t="s">
        <v>75</v>
      </c>
      <c r="X251" s="13">
        <v>44.47</v>
      </c>
      <c r="Y251" s="13">
        <v>6.74</v>
      </c>
      <c r="Z251" s="13">
        <f t="shared" si="332"/>
        <v>51.21</v>
      </c>
      <c r="AB251" s="74">
        <v>3299</v>
      </c>
      <c r="AC251" s="74" t="s">
        <v>75</v>
      </c>
      <c r="AD251" s="13">
        <v>57.29</v>
      </c>
      <c r="AE251" s="13">
        <v>8.68</v>
      </c>
      <c r="AF251" s="13">
        <f t="shared" si="333"/>
        <v>65.97</v>
      </c>
      <c r="AH251" s="89">
        <f t="shared" si="287"/>
        <v>-0.37860010473031935</v>
      </c>
      <c r="AI251" s="89">
        <f t="shared" si="288"/>
        <v>-0.37788018433179715</v>
      </c>
      <c r="AJ251" s="89">
        <f t="shared" si="289"/>
        <v>-0.37850538123389421</v>
      </c>
    </row>
    <row r="252" spans="1:36" x14ac:dyDescent="0.3">
      <c r="A252" s="17" t="s">
        <v>499</v>
      </c>
      <c r="B252" s="44" t="s">
        <v>500</v>
      </c>
      <c r="C252" s="12">
        <f t="shared" si="334"/>
        <v>2068</v>
      </c>
      <c r="D252" s="41" t="str">
        <f t="shared" si="335"/>
        <v>m</v>
      </c>
      <c r="E252" s="41">
        <f>ROUND((X252*(1-$M$5))*(1+BDI!$C$21),2)</f>
        <v>37.979999999999997</v>
      </c>
      <c r="F252" s="41">
        <f>ROUND((Y252*(1-$N$5))*(1+BDI!$C$21),2)</f>
        <v>5.4</v>
      </c>
      <c r="G252" s="41">
        <f t="shared" si="225"/>
        <v>43.379999999999995</v>
      </c>
      <c r="H252" s="13">
        <f t="shared" si="329"/>
        <v>78542.64</v>
      </c>
      <c r="I252" s="13">
        <f t="shared" si="330"/>
        <v>11167.2</v>
      </c>
      <c r="J252" s="14">
        <f t="shared" si="331"/>
        <v>89709.84</v>
      </c>
      <c r="M252" s="54"/>
      <c r="N252" s="56"/>
      <c r="V252" s="74">
        <v>2068</v>
      </c>
      <c r="W252" s="74" t="s">
        <v>75</v>
      </c>
      <c r="X252" s="13">
        <v>47.45</v>
      </c>
      <c r="Y252" s="13">
        <v>6.74</v>
      </c>
      <c r="Z252" s="13">
        <f t="shared" si="332"/>
        <v>54.190000000000005</v>
      </c>
      <c r="AB252" s="74">
        <v>2068</v>
      </c>
      <c r="AC252" s="74" t="s">
        <v>75</v>
      </c>
      <c r="AD252" s="13">
        <v>61.13</v>
      </c>
      <c r="AE252" s="13">
        <v>8.68</v>
      </c>
      <c r="AF252" s="13">
        <f t="shared" si="333"/>
        <v>69.81</v>
      </c>
      <c r="AH252" s="89">
        <f t="shared" si="287"/>
        <v>-0.37870112874202522</v>
      </c>
      <c r="AI252" s="89">
        <f t="shared" si="288"/>
        <v>-0.37788018433179715</v>
      </c>
      <c r="AJ252" s="89">
        <f t="shared" si="289"/>
        <v>-0.37859905457670828</v>
      </c>
    </row>
    <row r="253" spans="1:36" x14ac:dyDescent="0.3">
      <c r="A253" s="17" t="s">
        <v>501</v>
      </c>
      <c r="B253" s="44" t="s">
        <v>502</v>
      </c>
      <c r="C253" s="12">
        <f t="shared" si="334"/>
        <v>201</v>
      </c>
      <c r="D253" s="41" t="str">
        <f t="shared" si="335"/>
        <v>UN</v>
      </c>
      <c r="E253" s="41">
        <f>ROUND((X253*(1-$M$5))*(1+BDI!$C$21),2)</f>
        <v>16.350000000000001</v>
      </c>
      <c r="F253" s="41">
        <f>ROUND((Y253*(1-$N$5))*(1+BDI!$C$21),2)</f>
        <v>6.65</v>
      </c>
      <c r="G253" s="41">
        <f t="shared" si="225"/>
        <v>23</v>
      </c>
      <c r="H253" s="13">
        <f t="shared" si="329"/>
        <v>3286.3500000000004</v>
      </c>
      <c r="I253" s="13">
        <f t="shared" si="330"/>
        <v>1336.65</v>
      </c>
      <c r="J253" s="14">
        <f t="shared" si="331"/>
        <v>4623</v>
      </c>
      <c r="M253" s="54"/>
      <c r="N253" s="56"/>
      <c r="V253" s="74">
        <v>201</v>
      </c>
      <c r="W253" s="74" t="s">
        <v>46</v>
      </c>
      <c r="X253" s="13">
        <v>20.43</v>
      </c>
      <c r="Y253" s="13">
        <v>8.31</v>
      </c>
      <c r="Z253" s="13">
        <f t="shared" si="332"/>
        <v>28.740000000000002</v>
      </c>
      <c r="AB253" s="74">
        <v>201</v>
      </c>
      <c r="AC253" s="74" t="s">
        <v>46</v>
      </c>
      <c r="AD253" s="13">
        <v>26.32</v>
      </c>
      <c r="AE253" s="13">
        <v>10.7</v>
      </c>
      <c r="AF253" s="13">
        <f t="shared" si="333"/>
        <v>37.019999999999996</v>
      </c>
      <c r="AH253" s="89">
        <f t="shared" si="287"/>
        <v>-0.37879939209726443</v>
      </c>
      <c r="AI253" s="89">
        <f t="shared" si="288"/>
        <v>-0.37850467289719614</v>
      </c>
      <c r="AJ253" s="89">
        <f t="shared" si="289"/>
        <v>-0.37871420853592641</v>
      </c>
    </row>
    <row r="254" spans="1:36" x14ac:dyDescent="0.3">
      <c r="A254" s="17" t="s">
        <v>503</v>
      </c>
      <c r="B254" s="44" t="s">
        <v>504</v>
      </c>
      <c r="C254" s="12">
        <f t="shared" si="334"/>
        <v>20</v>
      </c>
      <c r="D254" s="41" t="str">
        <f t="shared" si="335"/>
        <v>UN</v>
      </c>
      <c r="E254" s="41">
        <f>ROUND((X254*(1-$M$5))*(1+BDI!$C$21),2)</f>
        <v>15.12</v>
      </c>
      <c r="F254" s="41">
        <f>ROUND((Y254*(1-$N$5))*(1+BDI!$C$21),2)</f>
        <v>1.54</v>
      </c>
      <c r="G254" s="41">
        <f t="shared" si="225"/>
        <v>16.66</v>
      </c>
      <c r="H254" s="13">
        <f t="shared" si="329"/>
        <v>302.39999999999998</v>
      </c>
      <c r="I254" s="13">
        <f t="shared" si="330"/>
        <v>30.8</v>
      </c>
      <c r="J254" s="14">
        <f t="shared" si="331"/>
        <v>333.2</v>
      </c>
      <c r="M254" s="54"/>
      <c r="N254" s="56"/>
      <c r="V254" s="74">
        <v>20</v>
      </c>
      <c r="W254" s="74" t="s">
        <v>46</v>
      </c>
      <c r="X254" s="13">
        <v>18.89</v>
      </c>
      <c r="Y254" s="13">
        <v>1.92</v>
      </c>
      <c r="Z254" s="13">
        <f t="shared" si="332"/>
        <v>20.810000000000002</v>
      </c>
      <c r="AB254" s="74">
        <v>20</v>
      </c>
      <c r="AC254" s="74" t="s">
        <v>46</v>
      </c>
      <c r="AD254" s="13">
        <v>24.33</v>
      </c>
      <c r="AE254" s="13">
        <v>2.4700000000000002</v>
      </c>
      <c r="AF254" s="13">
        <f t="shared" si="333"/>
        <v>26.799999999999997</v>
      </c>
      <c r="AH254" s="89">
        <f t="shared" si="287"/>
        <v>-0.37854500616522813</v>
      </c>
      <c r="AI254" s="89">
        <f t="shared" si="288"/>
        <v>-0.37651821862348178</v>
      </c>
      <c r="AJ254" s="89">
        <f t="shared" si="289"/>
        <v>-0.37835820895522376</v>
      </c>
    </row>
    <row r="255" spans="1:36" x14ac:dyDescent="0.3">
      <c r="A255" s="17" t="s">
        <v>505</v>
      </c>
      <c r="B255" s="44" t="s">
        <v>506</v>
      </c>
      <c r="C255" s="12">
        <f t="shared" si="334"/>
        <v>57</v>
      </c>
      <c r="D255" s="41" t="str">
        <f t="shared" si="335"/>
        <v>UN</v>
      </c>
      <c r="E255" s="41">
        <f>ROUND((X255*(1-$M$5))*(1+BDI!$C$21),2)</f>
        <v>86.79</v>
      </c>
      <c r="F255" s="41">
        <f>ROUND((Y255*(1-$N$5))*(1+BDI!$C$21),2)</f>
        <v>22.66</v>
      </c>
      <c r="G255" s="41">
        <f t="shared" si="225"/>
        <v>109.45</v>
      </c>
      <c r="H255" s="13">
        <f t="shared" si="329"/>
        <v>4947.0300000000007</v>
      </c>
      <c r="I255" s="13">
        <f t="shared" si="330"/>
        <v>1291.6200000000001</v>
      </c>
      <c r="J255" s="14">
        <f t="shared" si="331"/>
        <v>6238.6500000000005</v>
      </c>
      <c r="M255" s="54"/>
      <c r="N255" s="55"/>
      <c r="V255" s="74">
        <v>57</v>
      </c>
      <c r="W255" s="74" t="s">
        <v>46</v>
      </c>
      <c r="X255" s="13">
        <v>108.42</v>
      </c>
      <c r="Y255" s="13">
        <v>28.31</v>
      </c>
      <c r="Z255" s="13">
        <f t="shared" si="332"/>
        <v>136.72999999999999</v>
      </c>
      <c r="AB255" s="74">
        <v>57</v>
      </c>
      <c r="AC255" s="74" t="s">
        <v>46</v>
      </c>
      <c r="AD255" s="13">
        <v>139.66999999999999</v>
      </c>
      <c r="AE255" s="13">
        <v>36.47</v>
      </c>
      <c r="AF255" s="13">
        <f t="shared" si="333"/>
        <v>176.14</v>
      </c>
      <c r="AH255" s="89">
        <f t="shared" si="287"/>
        <v>-0.37860671583017103</v>
      </c>
      <c r="AI255" s="89">
        <f t="shared" si="288"/>
        <v>-0.37866739786125581</v>
      </c>
      <c r="AJ255" s="89">
        <f t="shared" si="289"/>
        <v>-0.37861928011808788</v>
      </c>
    </row>
    <row r="256" spans="1:36" x14ac:dyDescent="0.3">
      <c r="A256" s="17" t="s">
        <v>507</v>
      </c>
      <c r="B256" s="44" t="s">
        <v>508</v>
      </c>
      <c r="C256" s="12">
        <f t="shared" si="334"/>
        <v>1498</v>
      </c>
      <c r="D256" s="41" t="str">
        <f t="shared" si="335"/>
        <v>UN</v>
      </c>
      <c r="E256" s="41">
        <f>ROUND((X256*(1-$M$5))*(1+BDI!$C$21),2)</f>
        <v>0</v>
      </c>
      <c r="F256" s="41">
        <f>ROUND((Y256*(1-$N$5))*(1+BDI!$C$21),2)</f>
        <v>55.96</v>
      </c>
      <c r="G256" s="41">
        <f t="shared" si="225"/>
        <v>55.96</v>
      </c>
      <c r="H256" s="13">
        <f t="shared" si="329"/>
        <v>0</v>
      </c>
      <c r="I256" s="13">
        <f t="shared" si="330"/>
        <v>83828.08</v>
      </c>
      <c r="J256" s="14">
        <f t="shared" si="331"/>
        <v>83828.08</v>
      </c>
      <c r="M256" s="54"/>
      <c r="N256" s="55"/>
      <c r="V256" s="74">
        <v>1498</v>
      </c>
      <c r="W256" s="74" t="s">
        <v>46</v>
      </c>
      <c r="X256" s="13">
        <v>0</v>
      </c>
      <c r="Y256" s="13">
        <v>69.91</v>
      </c>
      <c r="Z256" s="13">
        <f t="shared" si="332"/>
        <v>69.91</v>
      </c>
      <c r="AB256" s="74">
        <v>1498</v>
      </c>
      <c r="AC256" s="74" t="s">
        <v>46</v>
      </c>
      <c r="AD256" s="13">
        <v>0</v>
      </c>
      <c r="AE256" s="13">
        <v>90.06</v>
      </c>
      <c r="AF256" s="13">
        <f t="shared" si="333"/>
        <v>90.06</v>
      </c>
      <c r="AH256" s="89">
        <f t="shared" si="287"/>
        <v>0</v>
      </c>
      <c r="AI256" s="89">
        <f t="shared" si="288"/>
        <v>-0.37863646457916944</v>
      </c>
      <c r="AJ256" s="89">
        <f t="shared" si="289"/>
        <v>-0.37863646457916944</v>
      </c>
    </row>
    <row r="257" spans="1:36" x14ac:dyDescent="0.3">
      <c r="A257" s="17" t="s">
        <v>509</v>
      </c>
      <c r="B257" s="44" t="s">
        <v>510</v>
      </c>
      <c r="C257" s="12">
        <f t="shared" si="334"/>
        <v>205</v>
      </c>
      <c r="D257" s="41" t="str">
        <f t="shared" si="335"/>
        <v>UN</v>
      </c>
      <c r="E257" s="41">
        <f>ROUND((X257*(1-$M$5))*(1+BDI!$C$21),2)</f>
        <v>47.2</v>
      </c>
      <c r="F257" s="41">
        <f>ROUND((Y257*(1-$N$5))*(1+BDI!$C$21),2)</f>
        <v>11.33</v>
      </c>
      <c r="G257" s="41">
        <f t="shared" si="225"/>
        <v>58.53</v>
      </c>
      <c r="H257" s="13">
        <f t="shared" si="329"/>
        <v>9676</v>
      </c>
      <c r="I257" s="13">
        <f t="shared" si="330"/>
        <v>2322.65</v>
      </c>
      <c r="J257" s="14">
        <f t="shared" si="331"/>
        <v>11998.65</v>
      </c>
      <c r="M257" s="54"/>
      <c r="N257" s="56"/>
      <c r="V257" s="74">
        <v>205</v>
      </c>
      <c r="W257" s="74" t="s">
        <v>46</v>
      </c>
      <c r="X257" s="13">
        <v>58.97</v>
      </c>
      <c r="Y257" s="13">
        <v>14.15</v>
      </c>
      <c r="Z257" s="13">
        <f t="shared" si="332"/>
        <v>73.12</v>
      </c>
      <c r="AB257" s="74">
        <v>205</v>
      </c>
      <c r="AC257" s="74" t="s">
        <v>46</v>
      </c>
      <c r="AD257" s="13">
        <v>75.97</v>
      </c>
      <c r="AE257" s="13">
        <v>18.23</v>
      </c>
      <c r="AF257" s="13">
        <f t="shared" si="333"/>
        <v>94.2</v>
      </c>
      <c r="AH257" s="89">
        <f t="shared" si="287"/>
        <v>-0.37870211925760167</v>
      </c>
      <c r="AI257" s="89">
        <f t="shared" si="288"/>
        <v>-0.37849698299506307</v>
      </c>
      <c r="AJ257" s="89">
        <f t="shared" si="289"/>
        <v>-0.37866242038216558</v>
      </c>
    </row>
    <row r="258" spans="1:36" x14ac:dyDescent="0.3">
      <c r="A258" s="17" t="s">
        <v>511</v>
      </c>
      <c r="B258" s="44" t="s">
        <v>512</v>
      </c>
      <c r="C258" s="12">
        <f t="shared" si="334"/>
        <v>1</v>
      </c>
      <c r="D258" s="41" t="str">
        <f t="shared" si="335"/>
        <v>UN</v>
      </c>
      <c r="E258" s="41">
        <f>ROUND((X258*(1-$M$5))*(1+BDI!$C$21),2)</f>
        <v>930.8</v>
      </c>
      <c r="F258" s="41">
        <f>ROUND((Y258*(1-$N$5))*(1+BDI!$C$21),2)</f>
        <v>35.85</v>
      </c>
      <c r="G258" s="41">
        <f t="shared" si="225"/>
        <v>966.65</v>
      </c>
      <c r="H258" s="13">
        <f t="shared" si="329"/>
        <v>930.8</v>
      </c>
      <c r="I258" s="13">
        <f t="shared" si="330"/>
        <v>35.85</v>
      </c>
      <c r="J258" s="14">
        <f t="shared" si="331"/>
        <v>966.65</v>
      </c>
      <c r="M258" s="54"/>
      <c r="N258" s="56"/>
      <c r="V258" s="74">
        <v>1</v>
      </c>
      <c r="W258" s="74" t="s">
        <v>46</v>
      </c>
      <c r="X258" s="13">
        <v>1162.79</v>
      </c>
      <c r="Y258" s="13">
        <v>44.78</v>
      </c>
      <c r="Z258" s="13">
        <f t="shared" si="332"/>
        <v>1207.57</v>
      </c>
      <c r="AB258" s="74">
        <v>1</v>
      </c>
      <c r="AC258" s="74" t="s">
        <v>46</v>
      </c>
      <c r="AD258" s="13">
        <v>1497.91</v>
      </c>
      <c r="AE258" s="13">
        <v>57.69</v>
      </c>
      <c r="AF258" s="13">
        <f t="shared" si="333"/>
        <v>1555.6000000000001</v>
      </c>
      <c r="AH258" s="89">
        <f t="shared" si="287"/>
        <v>-0.37860085051838899</v>
      </c>
      <c r="AI258" s="89">
        <f t="shared" si="288"/>
        <v>-0.37857514300572015</v>
      </c>
      <c r="AJ258" s="89">
        <f t="shared" si="289"/>
        <v>-0.37859989714579589</v>
      </c>
    </row>
    <row r="259" spans="1:36" x14ac:dyDescent="0.3">
      <c r="A259" s="17" t="s">
        <v>513</v>
      </c>
      <c r="B259" s="44" t="s">
        <v>514</v>
      </c>
      <c r="C259" s="12">
        <f t="shared" si="334"/>
        <v>1</v>
      </c>
      <c r="D259" s="41" t="str">
        <f t="shared" si="335"/>
        <v>UN</v>
      </c>
      <c r="E259" s="41">
        <f>ROUND((X259*(1-$M$5))*(1+BDI!$C$21),2)</f>
        <v>249.44</v>
      </c>
      <c r="F259" s="41">
        <f>ROUND((Y259*(1-$N$5))*(1+BDI!$C$21),2)</f>
        <v>222.43</v>
      </c>
      <c r="G259" s="41">
        <f t="shared" ref="G259:G322" si="336">F259+E259</f>
        <v>471.87</v>
      </c>
      <c r="H259" s="13">
        <f t="shared" si="329"/>
        <v>249.44</v>
      </c>
      <c r="I259" s="13">
        <f t="shared" si="330"/>
        <v>222.43</v>
      </c>
      <c r="J259" s="14">
        <f t="shared" si="331"/>
        <v>471.87</v>
      </c>
      <c r="M259" s="54"/>
      <c r="N259" s="56"/>
      <c r="V259" s="74">
        <v>1</v>
      </c>
      <c r="W259" s="74" t="s">
        <v>46</v>
      </c>
      <c r="X259" s="13">
        <v>311.61</v>
      </c>
      <c r="Y259" s="13">
        <v>277.87</v>
      </c>
      <c r="Z259" s="13">
        <f t="shared" si="332"/>
        <v>589.48</v>
      </c>
      <c r="AB259" s="74">
        <v>1</v>
      </c>
      <c r="AC259" s="74" t="s">
        <v>46</v>
      </c>
      <c r="AD259" s="13">
        <v>401.42</v>
      </c>
      <c r="AE259" s="13">
        <v>357.95</v>
      </c>
      <c r="AF259" s="13">
        <f t="shared" si="333"/>
        <v>759.37</v>
      </c>
      <c r="AH259" s="89">
        <f t="shared" si="287"/>
        <v>-0.37860594888147081</v>
      </c>
      <c r="AI259" s="89">
        <f t="shared" si="288"/>
        <v>-0.37860036317921497</v>
      </c>
      <c r="AJ259" s="89">
        <f t="shared" si="289"/>
        <v>-0.37860331590660679</v>
      </c>
    </row>
    <row r="260" spans="1:36" x14ac:dyDescent="0.3">
      <c r="A260" s="17" t="s">
        <v>515</v>
      </c>
      <c r="B260" s="44" t="s">
        <v>516</v>
      </c>
      <c r="C260" s="12">
        <f t="shared" si="334"/>
        <v>199</v>
      </c>
      <c r="D260" s="41" t="str">
        <f t="shared" si="335"/>
        <v>UN</v>
      </c>
      <c r="E260" s="41">
        <f>ROUND((X260*(1-$M$5))*(1+BDI!$C$21),2)</f>
        <v>1536.94</v>
      </c>
      <c r="F260" s="41">
        <f>ROUND((Y260*(1-$N$5))*(1+BDI!$C$21),2)</f>
        <v>26.98</v>
      </c>
      <c r="G260" s="41">
        <f t="shared" si="336"/>
        <v>1563.92</v>
      </c>
      <c r="H260" s="13">
        <f t="shared" si="329"/>
        <v>305851.06</v>
      </c>
      <c r="I260" s="13">
        <f t="shared" si="330"/>
        <v>5369.02</v>
      </c>
      <c r="J260" s="14">
        <f t="shared" si="331"/>
        <v>311220.08</v>
      </c>
      <c r="M260" s="54"/>
      <c r="N260" s="56"/>
      <c r="V260" s="74">
        <v>199</v>
      </c>
      <c r="W260" s="74" t="s">
        <v>46</v>
      </c>
      <c r="X260" s="13">
        <v>1920</v>
      </c>
      <c r="Y260" s="13">
        <v>33.700000000000003</v>
      </c>
      <c r="Z260" s="13">
        <f t="shared" si="332"/>
        <v>1953.7</v>
      </c>
      <c r="AB260" s="74">
        <v>199</v>
      </c>
      <c r="AC260" s="74" t="s">
        <v>46</v>
      </c>
      <c r="AD260" s="13">
        <v>2473.34</v>
      </c>
      <c r="AE260" s="13">
        <v>43.41</v>
      </c>
      <c r="AF260" s="13">
        <f t="shared" si="333"/>
        <v>2516.75</v>
      </c>
      <c r="AH260" s="89">
        <f t="shared" si="287"/>
        <v>-0.37859736227126073</v>
      </c>
      <c r="AI260" s="89">
        <f t="shared" si="288"/>
        <v>-0.37848422022575434</v>
      </c>
      <c r="AJ260" s="89">
        <f t="shared" si="289"/>
        <v>-0.37859541074798841</v>
      </c>
    </row>
    <row r="261" spans="1:36" x14ac:dyDescent="0.3">
      <c r="A261" s="17" t="s">
        <v>517</v>
      </c>
      <c r="B261" s="44" t="s">
        <v>518</v>
      </c>
      <c r="C261" s="12">
        <f t="shared" si="334"/>
        <v>1</v>
      </c>
      <c r="D261" s="41" t="str">
        <f t="shared" si="335"/>
        <v>UN</v>
      </c>
      <c r="E261" s="41">
        <f>ROUND((X261*(1-$M$5))*(1+BDI!$C$21),2)</f>
        <v>0</v>
      </c>
      <c r="F261" s="41">
        <f>ROUND((Y261*(1-$N$5))*(1+BDI!$C$21),2)</f>
        <v>40.46</v>
      </c>
      <c r="G261" s="41">
        <f t="shared" si="336"/>
        <v>40.46</v>
      </c>
      <c r="H261" s="13">
        <f t="shared" si="329"/>
        <v>0</v>
      </c>
      <c r="I261" s="13">
        <f t="shared" si="330"/>
        <v>40.46</v>
      </c>
      <c r="J261" s="14">
        <f t="shared" si="331"/>
        <v>40.46</v>
      </c>
      <c r="M261" s="54"/>
      <c r="N261" s="56"/>
      <c r="V261" s="74">
        <v>1</v>
      </c>
      <c r="W261" s="74" t="s">
        <v>46</v>
      </c>
      <c r="X261" s="13">
        <v>0</v>
      </c>
      <c r="Y261" s="13">
        <v>50.55</v>
      </c>
      <c r="Z261" s="13">
        <f t="shared" si="332"/>
        <v>50.55</v>
      </c>
      <c r="AB261" s="74">
        <v>1</v>
      </c>
      <c r="AC261" s="74" t="s">
        <v>46</v>
      </c>
      <c r="AD261" s="13">
        <v>0</v>
      </c>
      <c r="AE261" s="13">
        <v>65.12</v>
      </c>
      <c r="AF261" s="13">
        <f t="shared" si="333"/>
        <v>65.12</v>
      </c>
      <c r="AH261" s="89">
        <f t="shared" si="287"/>
        <v>0</v>
      </c>
      <c r="AI261" s="89">
        <f t="shared" si="288"/>
        <v>-0.37868550368550369</v>
      </c>
      <c r="AJ261" s="89">
        <f t="shared" si="289"/>
        <v>-0.37868550368550369</v>
      </c>
    </row>
    <row r="262" spans="1:36" x14ac:dyDescent="0.3">
      <c r="A262" s="17" t="s">
        <v>519</v>
      </c>
      <c r="B262" s="44" t="s">
        <v>520</v>
      </c>
      <c r="C262" s="12">
        <f t="shared" si="334"/>
        <v>47</v>
      </c>
      <c r="D262" s="41" t="str">
        <f t="shared" si="335"/>
        <v>UN</v>
      </c>
      <c r="E262" s="41">
        <f>ROUND((X262*(1-$M$5))*(1+BDI!$C$21),2)</f>
        <v>75.209999999999994</v>
      </c>
      <c r="F262" s="41">
        <f>ROUND((Y262*(1-$N$5))*(1+BDI!$C$21),2)</f>
        <v>17.8</v>
      </c>
      <c r="G262" s="41">
        <f t="shared" si="336"/>
        <v>93.009999999999991</v>
      </c>
      <c r="H262" s="13">
        <f t="shared" si="329"/>
        <v>3534.87</v>
      </c>
      <c r="I262" s="13">
        <f t="shared" si="330"/>
        <v>836.6</v>
      </c>
      <c r="J262" s="14">
        <f t="shared" si="331"/>
        <v>4371.4699999999993</v>
      </c>
      <c r="M262" s="54"/>
      <c r="N262" s="56"/>
      <c r="V262" s="74">
        <v>47</v>
      </c>
      <c r="W262" s="74" t="s">
        <v>46</v>
      </c>
      <c r="X262" s="13">
        <v>93.96</v>
      </c>
      <c r="Y262" s="13">
        <v>22.24</v>
      </c>
      <c r="Z262" s="13">
        <f t="shared" si="332"/>
        <v>116.19999999999999</v>
      </c>
      <c r="AB262" s="74">
        <v>47</v>
      </c>
      <c r="AC262" s="74" t="s">
        <v>46</v>
      </c>
      <c r="AD262" s="13">
        <v>121.04</v>
      </c>
      <c r="AE262" s="13">
        <v>28.65</v>
      </c>
      <c r="AF262" s="13">
        <f t="shared" si="333"/>
        <v>149.69</v>
      </c>
      <c r="AH262" s="89">
        <f t="shared" si="287"/>
        <v>-0.37863516192994062</v>
      </c>
      <c r="AI262" s="89">
        <f t="shared" si="288"/>
        <v>-0.37870855148342053</v>
      </c>
      <c r="AJ262" s="89">
        <f t="shared" si="289"/>
        <v>-0.37864920836395222</v>
      </c>
    </row>
    <row r="263" spans="1:36" x14ac:dyDescent="0.3">
      <c r="A263" s="17" t="s">
        <v>521</v>
      </c>
      <c r="B263" s="44" t="s">
        <v>522</v>
      </c>
      <c r="C263" s="12">
        <f t="shared" si="334"/>
        <v>1925</v>
      </c>
      <c r="D263" s="41" t="str">
        <f t="shared" si="335"/>
        <v>UN</v>
      </c>
      <c r="E263" s="41">
        <f>ROUND((X263*(1-$M$5))*(1+BDI!$C$21),2)</f>
        <v>0</v>
      </c>
      <c r="F263" s="41">
        <f>ROUND((Y263*(1-$N$5))*(1+BDI!$C$21),2)</f>
        <v>26.98</v>
      </c>
      <c r="G263" s="41">
        <f t="shared" si="336"/>
        <v>26.98</v>
      </c>
      <c r="H263" s="13">
        <f t="shared" si="329"/>
        <v>0</v>
      </c>
      <c r="I263" s="13">
        <f t="shared" si="330"/>
        <v>51936.5</v>
      </c>
      <c r="J263" s="14">
        <f t="shared" si="331"/>
        <v>51936.5</v>
      </c>
      <c r="M263" s="54"/>
      <c r="N263" s="56"/>
      <c r="V263" s="74">
        <v>1925</v>
      </c>
      <c r="W263" s="74" t="s">
        <v>46</v>
      </c>
      <c r="X263" s="13">
        <v>0</v>
      </c>
      <c r="Y263" s="13">
        <v>33.700000000000003</v>
      </c>
      <c r="Z263" s="13">
        <f t="shared" si="332"/>
        <v>33.700000000000003</v>
      </c>
      <c r="AB263" s="74">
        <v>1925</v>
      </c>
      <c r="AC263" s="74" t="s">
        <v>46</v>
      </c>
      <c r="AD263" s="13">
        <v>0</v>
      </c>
      <c r="AE263" s="13">
        <v>43.41</v>
      </c>
      <c r="AF263" s="13">
        <f t="shared" si="333"/>
        <v>43.41</v>
      </c>
      <c r="AH263" s="89">
        <f t="shared" si="287"/>
        <v>0</v>
      </c>
      <c r="AI263" s="89">
        <f t="shared" si="288"/>
        <v>-0.37848422022575434</v>
      </c>
      <c r="AJ263" s="89">
        <f t="shared" si="289"/>
        <v>-0.37848422022575434</v>
      </c>
    </row>
    <row r="264" spans="1:36" x14ac:dyDescent="0.3">
      <c r="A264" s="17" t="s">
        <v>523</v>
      </c>
      <c r="B264" s="44" t="s">
        <v>524</v>
      </c>
      <c r="C264" s="12">
        <f t="shared" si="334"/>
        <v>1</v>
      </c>
      <c r="D264" s="41" t="str">
        <f t="shared" si="335"/>
        <v>UN</v>
      </c>
      <c r="E264" s="41">
        <f>ROUND((X264*(1-$M$5))*(1+BDI!$C$21),2)</f>
        <v>339.6</v>
      </c>
      <c r="F264" s="41">
        <f>ROUND((Y264*(1-$N$5))*(1+BDI!$C$21),2)</f>
        <v>26.98</v>
      </c>
      <c r="G264" s="41">
        <f t="shared" si="336"/>
        <v>366.58000000000004</v>
      </c>
      <c r="H264" s="13">
        <f t="shared" si="329"/>
        <v>339.6</v>
      </c>
      <c r="I264" s="13">
        <f t="shared" si="330"/>
        <v>26.98</v>
      </c>
      <c r="J264" s="14">
        <f t="shared" si="331"/>
        <v>366.58000000000004</v>
      </c>
      <c r="M264" s="54"/>
      <c r="N264" s="56"/>
      <c r="V264" s="74">
        <v>1</v>
      </c>
      <c r="W264" s="74" t="s">
        <v>46</v>
      </c>
      <c r="X264" s="13">
        <v>424.24</v>
      </c>
      <c r="Y264" s="13">
        <v>33.700000000000003</v>
      </c>
      <c r="Z264" s="13">
        <f t="shared" si="332"/>
        <v>457.94</v>
      </c>
      <c r="AB264" s="74">
        <v>1</v>
      </c>
      <c r="AC264" s="74" t="s">
        <v>46</v>
      </c>
      <c r="AD264" s="13">
        <v>546.51</v>
      </c>
      <c r="AE264" s="13">
        <v>43.41</v>
      </c>
      <c r="AF264" s="13">
        <f t="shared" si="333"/>
        <v>589.91999999999996</v>
      </c>
      <c r="AH264" s="89">
        <f t="shared" si="287"/>
        <v>-0.37860240434758741</v>
      </c>
      <c r="AI264" s="89">
        <f t="shared" si="288"/>
        <v>-0.37848422022575434</v>
      </c>
      <c r="AJ264" s="89">
        <f t="shared" si="289"/>
        <v>-0.37859370762137223</v>
      </c>
    </row>
    <row r="265" spans="1:36" x14ac:dyDescent="0.3">
      <c r="A265" s="17" t="s">
        <v>525</v>
      </c>
      <c r="B265" s="44" t="s">
        <v>526</v>
      </c>
      <c r="C265" s="12">
        <f t="shared" si="334"/>
        <v>1</v>
      </c>
      <c r="D265" s="41" t="str">
        <f t="shared" si="335"/>
        <v>UN</v>
      </c>
      <c r="E265" s="41">
        <f>ROUND((X265*(1-$M$5))*(1+BDI!$C$21),2)</f>
        <v>30.41</v>
      </c>
      <c r="F265" s="41">
        <f>ROUND((Y265*(1-$N$5))*(1+BDI!$C$21),2)</f>
        <v>10.02</v>
      </c>
      <c r="G265" s="41">
        <f t="shared" si="336"/>
        <v>40.43</v>
      </c>
      <c r="H265" s="13">
        <f t="shared" si="329"/>
        <v>30.41</v>
      </c>
      <c r="I265" s="13">
        <f t="shared" si="330"/>
        <v>10.02</v>
      </c>
      <c r="J265" s="14">
        <f t="shared" si="331"/>
        <v>40.43</v>
      </c>
      <c r="M265" s="54"/>
      <c r="N265" s="56"/>
      <c r="V265" s="74">
        <v>1</v>
      </c>
      <c r="W265" s="74" t="s">
        <v>46</v>
      </c>
      <c r="X265" s="13">
        <v>37.99</v>
      </c>
      <c r="Y265" s="13">
        <v>12.52</v>
      </c>
      <c r="Z265" s="13">
        <f t="shared" si="332"/>
        <v>50.510000000000005</v>
      </c>
      <c r="AB265" s="74">
        <v>1</v>
      </c>
      <c r="AC265" s="74" t="s">
        <v>46</v>
      </c>
      <c r="AD265" s="13">
        <v>48.94</v>
      </c>
      <c r="AE265" s="13">
        <v>16.13</v>
      </c>
      <c r="AF265" s="13">
        <f t="shared" si="333"/>
        <v>65.069999999999993</v>
      </c>
      <c r="AH265" s="89">
        <f t="shared" si="287"/>
        <v>-0.37862689006947281</v>
      </c>
      <c r="AI265" s="89">
        <f t="shared" si="288"/>
        <v>-0.37879727216367021</v>
      </c>
      <c r="AJ265" s="89">
        <f t="shared" si="289"/>
        <v>-0.37866912555709231</v>
      </c>
    </row>
    <row r="266" spans="1:36" x14ac:dyDescent="0.3">
      <c r="A266" s="17" t="s">
        <v>527</v>
      </c>
      <c r="B266" s="44" t="s">
        <v>528</v>
      </c>
      <c r="C266" s="12">
        <f t="shared" si="334"/>
        <v>867</v>
      </c>
      <c r="D266" s="41" t="str">
        <f t="shared" si="335"/>
        <v>UN</v>
      </c>
      <c r="E266" s="41">
        <f>ROUND((X266*(1-$M$5))*(1+BDI!$C$21),2)</f>
        <v>46.1</v>
      </c>
      <c r="F266" s="41">
        <f>ROUND((Y266*(1-$N$5))*(1+BDI!$C$21),2)</f>
        <v>15.39</v>
      </c>
      <c r="G266" s="41">
        <f t="shared" si="336"/>
        <v>61.49</v>
      </c>
      <c r="H266" s="13">
        <f t="shared" si="329"/>
        <v>39968.700000000004</v>
      </c>
      <c r="I266" s="13">
        <f t="shared" si="330"/>
        <v>13343.130000000001</v>
      </c>
      <c r="J266" s="14">
        <f t="shared" si="331"/>
        <v>53311.83</v>
      </c>
      <c r="M266" s="54"/>
      <c r="N266" s="56"/>
      <c r="V266" s="74">
        <v>867</v>
      </c>
      <c r="W266" s="74" t="s">
        <v>46</v>
      </c>
      <c r="X266" s="13">
        <v>57.59</v>
      </c>
      <c r="Y266" s="13">
        <v>19.23</v>
      </c>
      <c r="Z266" s="13">
        <f t="shared" si="332"/>
        <v>76.820000000000007</v>
      </c>
      <c r="AB266" s="74">
        <v>867</v>
      </c>
      <c r="AC266" s="74" t="s">
        <v>46</v>
      </c>
      <c r="AD266" s="13">
        <v>74.19</v>
      </c>
      <c r="AE266" s="13">
        <v>24.77</v>
      </c>
      <c r="AF266" s="13">
        <f t="shared" si="333"/>
        <v>98.96</v>
      </c>
      <c r="AH266" s="89">
        <f t="shared" si="287"/>
        <v>-0.37862245585658438</v>
      </c>
      <c r="AI266" s="89">
        <f t="shared" si="288"/>
        <v>-0.37868389180460227</v>
      </c>
      <c r="AJ266" s="89">
        <f t="shared" si="289"/>
        <v>-0.3786378334680679</v>
      </c>
    </row>
    <row r="267" spans="1:36" x14ac:dyDescent="0.3">
      <c r="A267" s="17" t="s">
        <v>529</v>
      </c>
      <c r="B267" s="44" t="s">
        <v>530</v>
      </c>
      <c r="C267" s="12">
        <f t="shared" si="334"/>
        <v>1</v>
      </c>
      <c r="D267" s="41" t="str">
        <f t="shared" si="335"/>
        <v>UN</v>
      </c>
      <c r="E267" s="41">
        <f>ROUND((X267*(1-$M$5))*(1+BDI!$C$21),2)</f>
        <v>254.95</v>
      </c>
      <c r="F267" s="41">
        <f>ROUND((Y267*(1-$N$5))*(1+BDI!$C$21),2)</f>
        <v>53.95</v>
      </c>
      <c r="G267" s="41">
        <f t="shared" si="336"/>
        <v>308.89999999999998</v>
      </c>
      <c r="H267" s="13">
        <f t="shared" si="329"/>
        <v>254.95</v>
      </c>
      <c r="I267" s="13">
        <f t="shared" si="330"/>
        <v>53.95</v>
      </c>
      <c r="J267" s="14">
        <f t="shared" si="331"/>
        <v>308.89999999999998</v>
      </c>
      <c r="M267" s="54"/>
      <c r="N267" s="56"/>
      <c r="V267" s="74">
        <v>1</v>
      </c>
      <c r="W267" s="74" t="s">
        <v>46</v>
      </c>
      <c r="X267" s="13">
        <v>318.49</v>
      </c>
      <c r="Y267" s="13">
        <v>67.400000000000006</v>
      </c>
      <c r="Z267" s="13">
        <f t="shared" si="332"/>
        <v>385.89</v>
      </c>
      <c r="AB267" s="74">
        <v>1</v>
      </c>
      <c r="AC267" s="74" t="s">
        <v>46</v>
      </c>
      <c r="AD267" s="13">
        <v>410.28</v>
      </c>
      <c r="AE267" s="13">
        <v>86.82</v>
      </c>
      <c r="AF267" s="13">
        <f t="shared" si="333"/>
        <v>497.09999999999997</v>
      </c>
      <c r="AH267" s="89">
        <f t="shared" si="287"/>
        <v>-0.37859510578141753</v>
      </c>
      <c r="AI267" s="89">
        <f t="shared" si="288"/>
        <v>-0.37859940105966361</v>
      </c>
      <c r="AJ267" s="89">
        <f t="shared" si="289"/>
        <v>-0.37859585596459466</v>
      </c>
    </row>
    <row r="268" spans="1:36" x14ac:dyDescent="0.3">
      <c r="A268" s="17" t="s">
        <v>531</v>
      </c>
      <c r="B268" s="44" t="s">
        <v>532</v>
      </c>
      <c r="C268" s="12">
        <f t="shared" si="334"/>
        <v>86</v>
      </c>
      <c r="D268" s="41" t="str">
        <f t="shared" si="335"/>
        <v>UN</v>
      </c>
      <c r="E268" s="41">
        <f>ROUND((X268*(1-$M$5))*(1+BDI!$C$21),2)</f>
        <v>176.11</v>
      </c>
      <c r="F268" s="41">
        <f>ROUND((Y268*(1-$N$5))*(1+BDI!$C$21),2)</f>
        <v>53.95</v>
      </c>
      <c r="G268" s="41">
        <f t="shared" si="336"/>
        <v>230.06</v>
      </c>
      <c r="H268" s="13">
        <f t="shared" si="329"/>
        <v>15145.460000000001</v>
      </c>
      <c r="I268" s="13">
        <f t="shared" si="330"/>
        <v>4639.7</v>
      </c>
      <c r="J268" s="14">
        <f t="shared" si="331"/>
        <v>19785.16</v>
      </c>
      <c r="M268" s="54"/>
      <c r="N268" s="56"/>
      <c r="V268" s="74">
        <v>86</v>
      </c>
      <c r="W268" s="74" t="s">
        <v>46</v>
      </c>
      <c r="X268" s="13">
        <v>220</v>
      </c>
      <c r="Y268" s="13">
        <v>67.400000000000006</v>
      </c>
      <c r="Z268" s="13">
        <f t="shared" si="332"/>
        <v>287.39999999999998</v>
      </c>
      <c r="AB268" s="74">
        <v>86</v>
      </c>
      <c r="AC268" s="74" t="s">
        <v>46</v>
      </c>
      <c r="AD268" s="13">
        <v>283.39999999999998</v>
      </c>
      <c r="AE268" s="13">
        <v>86.82</v>
      </c>
      <c r="AF268" s="13">
        <f t="shared" si="333"/>
        <v>370.21999999999997</v>
      </c>
      <c r="AH268" s="89">
        <f t="shared" si="287"/>
        <v>-0.37858151023288633</v>
      </c>
      <c r="AI268" s="89">
        <f t="shared" si="288"/>
        <v>-0.37859940105966361</v>
      </c>
      <c r="AJ268" s="89">
        <f t="shared" si="289"/>
        <v>-0.37858570579655337</v>
      </c>
    </row>
    <row r="269" spans="1:36" x14ac:dyDescent="0.3">
      <c r="A269" s="17" t="s">
        <v>533</v>
      </c>
      <c r="B269" s="44" t="s">
        <v>534</v>
      </c>
      <c r="C269" s="12">
        <f t="shared" si="334"/>
        <v>1</v>
      </c>
      <c r="D269" s="41" t="str">
        <f t="shared" si="335"/>
        <v>UN</v>
      </c>
      <c r="E269" s="41">
        <f>ROUND((X269*(1-$M$5))*(1+BDI!$C$21),2)</f>
        <v>34.47</v>
      </c>
      <c r="F269" s="41">
        <f>ROUND((Y269*(1-$N$5))*(1+BDI!$C$21),2)</f>
        <v>107.91</v>
      </c>
      <c r="G269" s="41">
        <f t="shared" si="336"/>
        <v>142.38</v>
      </c>
      <c r="H269" s="13">
        <f t="shared" si="329"/>
        <v>34.47</v>
      </c>
      <c r="I269" s="13">
        <f t="shared" si="330"/>
        <v>107.91</v>
      </c>
      <c r="J269" s="14">
        <f t="shared" si="331"/>
        <v>142.38</v>
      </c>
      <c r="M269" s="54"/>
      <c r="N269" s="56"/>
      <c r="V269" s="74">
        <v>1</v>
      </c>
      <c r="W269" s="74" t="s">
        <v>46</v>
      </c>
      <c r="X269" s="13">
        <v>43.06</v>
      </c>
      <c r="Y269" s="13">
        <v>134.80000000000001</v>
      </c>
      <c r="Z269" s="13">
        <f t="shared" si="332"/>
        <v>177.86</v>
      </c>
      <c r="AB269" s="74">
        <v>1</v>
      </c>
      <c r="AC269" s="74" t="s">
        <v>46</v>
      </c>
      <c r="AD269" s="13">
        <v>55.47</v>
      </c>
      <c r="AE269" s="13">
        <v>173.65</v>
      </c>
      <c r="AF269" s="13">
        <f t="shared" si="333"/>
        <v>229.12</v>
      </c>
      <c r="AH269" s="89">
        <f t="shared" si="287"/>
        <v>-0.37858301784748516</v>
      </c>
      <c r="AI269" s="89">
        <f t="shared" si="288"/>
        <v>-0.37857759861790963</v>
      </c>
      <c r="AJ269" s="89">
        <f t="shared" si="289"/>
        <v>-0.3785789106145252</v>
      </c>
    </row>
    <row r="270" spans="1:36" x14ac:dyDescent="0.3">
      <c r="A270" s="17" t="s">
        <v>535</v>
      </c>
      <c r="B270" s="44" t="s">
        <v>536</v>
      </c>
      <c r="C270" s="12">
        <f t="shared" si="334"/>
        <v>1</v>
      </c>
      <c r="D270" s="41" t="str">
        <f t="shared" si="335"/>
        <v>UN</v>
      </c>
      <c r="E270" s="41">
        <f>ROUND((X270*(1-$M$5))*(1+BDI!$C$21),2)</f>
        <v>30.65</v>
      </c>
      <c r="F270" s="41">
        <f>ROUND((Y270*(1-$N$5))*(1+BDI!$C$21),2)</f>
        <v>32.369999999999997</v>
      </c>
      <c r="G270" s="41">
        <f t="shared" si="336"/>
        <v>63.019999999999996</v>
      </c>
      <c r="H270" s="13">
        <f t="shared" si="329"/>
        <v>30.65</v>
      </c>
      <c r="I270" s="13">
        <f t="shared" si="330"/>
        <v>32.369999999999997</v>
      </c>
      <c r="J270" s="14">
        <f t="shared" si="331"/>
        <v>63.019999999999996</v>
      </c>
      <c r="M270" s="54"/>
      <c r="N270" s="56"/>
      <c r="V270" s="74">
        <v>1</v>
      </c>
      <c r="W270" s="74" t="s">
        <v>46</v>
      </c>
      <c r="X270" s="13">
        <v>38.29</v>
      </c>
      <c r="Y270" s="13">
        <v>40.44</v>
      </c>
      <c r="Z270" s="13">
        <f t="shared" si="332"/>
        <v>78.72999999999999</v>
      </c>
      <c r="AB270" s="74">
        <v>1</v>
      </c>
      <c r="AC270" s="74" t="s">
        <v>46</v>
      </c>
      <c r="AD270" s="13">
        <v>49.33</v>
      </c>
      <c r="AE270" s="13">
        <v>52.09</v>
      </c>
      <c r="AF270" s="13">
        <f t="shared" si="333"/>
        <v>101.42</v>
      </c>
      <c r="AH270" s="89">
        <f t="shared" si="287"/>
        <v>-0.37867423474559092</v>
      </c>
      <c r="AI270" s="89">
        <f t="shared" si="288"/>
        <v>-0.37857554233058177</v>
      </c>
      <c r="AJ270" s="89">
        <f t="shared" si="289"/>
        <v>-0.37862354565174527</v>
      </c>
    </row>
    <row r="271" spans="1:36" x14ac:dyDescent="0.3">
      <c r="A271" s="17" t="s">
        <v>537</v>
      </c>
      <c r="B271" s="44" t="s">
        <v>538</v>
      </c>
      <c r="C271" s="12">
        <f t="shared" si="334"/>
        <v>4</v>
      </c>
      <c r="D271" s="41" t="str">
        <f t="shared" si="335"/>
        <v>UN</v>
      </c>
      <c r="E271" s="41">
        <f>ROUND((X271*(1-$M$5))*(1+BDI!$C$21),2)</f>
        <v>63.88</v>
      </c>
      <c r="F271" s="41">
        <f>ROUND((Y271*(1-$N$5))*(1+BDI!$C$21),2)</f>
        <v>32.369999999999997</v>
      </c>
      <c r="G271" s="41">
        <f t="shared" si="336"/>
        <v>96.25</v>
      </c>
      <c r="H271" s="13">
        <f t="shared" si="329"/>
        <v>255.52</v>
      </c>
      <c r="I271" s="13">
        <f t="shared" si="330"/>
        <v>129.47999999999999</v>
      </c>
      <c r="J271" s="14">
        <f t="shared" si="331"/>
        <v>385</v>
      </c>
      <c r="M271" s="54"/>
      <c r="N271" s="56"/>
      <c r="V271" s="74">
        <v>4</v>
      </c>
      <c r="W271" s="74" t="s">
        <v>46</v>
      </c>
      <c r="X271" s="13">
        <v>79.8</v>
      </c>
      <c r="Y271" s="13">
        <v>40.44</v>
      </c>
      <c r="Z271" s="13">
        <f t="shared" si="332"/>
        <v>120.24</v>
      </c>
      <c r="AB271" s="74">
        <v>4</v>
      </c>
      <c r="AC271" s="74" t="s">
        <v>46</v>
      </c>
      <c r="AD271" s="13">
        <v>102.8</v>
      </c>
      <c r="AE271" s="13">
        <v>52.09</v>
      </c>
      <c r="AF271" s="13">
        <f t="shared" si="333"/>
        <v>154.88999999999999</v>
      </c>
      <c r="AH271" s="89">
        <f t="shared" si="287"/>
        <v>-0.37859922178988326</v>
      </c>
      <c r="AI271" s="89">
        <f t="shared" si="288"/>
        <v>-0.37857554233058177</v>
      </c>
      <c r="AJ271" s="89">
        <f t="shared" si="289"/>
        <v>-0.37859125831235063</v>
      </c>
    </row>
    <row r="272" spans="1:36" x14ac:dyDescent="0.3">
      <c r="A272" s="17" t="s">
        <v>539</v>
      </c>
      <c r="B272" s="44" t="s">
        <v>540</v>
      </c>
      <c r="C272" s="12">
        <f t="shared" si="334"/>
        <v>713</v>
      </c>
      <c r="D272" s="41" t="str">
        <f t="shared" si="335"/>
        <v>UN</v>
      </c>
      <c r="E272" s="41">
        <f>ROUND((X272*(1-$M$5))*(1+BDI!$C$21),2)</f>
        <v>16.7</v>
      </c>
      <c r="F272" s="41">
        <f>ROUND((Y272*(1-$N$5))*(1+BDI!$C$21),2)</f>
        <v>10.02</v>
      </c>
      <c r="G272" s="41">
        <f t="shared" si="336"/>
        <v>26.72</v>
      </c>
      <c r="H272" s="13">
        <f t="shared" si="329"/>
        <v>11907.1</v>
      </c>
      <c r="I272" s="13">
        <f t="shared" si="330"/>
        <v>7144.2599999999993</v>
      </c>
      <c r="J272" s="14">
        <f t="shared" si="331"/>
        <v>19051.36</v>
      </c>
      <c r="M272" s="54"/>
      <c r="N272" s="56"/>
      <c r="V272" s="74">
        <v>713</v>
      </c>
      <c r="W272" s="74" t="s">
        <v>46</v>
      </c>
      <c r="X272" s="13">
        <v>20.86</v>
      </c>
      <c r="Y272" s="13">
        <v>12.52</v>
      </c>
      <c r="Z272" s="13">
        <f t="shared" si="332"/>
        <v>33.379999999999995</v>
      </c>
      <c r="AB272" s="74">
        <v>713</v>
      </c>
      <c r="AC272" s="74" t="s">
        <v>46</v>
      </c>
      <c r="AD272" s="13">
        <v>26.87</v>
      </c>
      <c r="AE272" s="13">
        <v>16.13</v>
      </c>
      <c r="AF272" s="13">
        <f t="shared" si="333"/>
        <v>43</v>
      </c>
      <c r="AH272" s="89">
        <f t="shared" si="287"/>
        <v>-0.37848902121324901</v>
      </c>
      <c r="AI272" s="89">
        <f t="shared" si="288"/>
        <v>-0.37879727216367021</v>
      </c>
      <c r="AJ272" s="89">
        <f t="shared" si="289"/>
        <v>-0.37860465116279074</v>
      </c>
    </row>
    <row r="273" spans="1:36" x14ac:dyDescent="0.3">
      <c r="A273" s="17" t="s">
        <v>541</v>
      </c>
      <c r="B273" s="44" t="s">
        <v>542</v>
      </c>
      <c r="C273" s="12">
        <f t="shared" si="334"/>
        <v>746</v>
      </c>
      <c r="D273" s="41" t="str">
        <f t="shared" si="335"/>
        <v>UN</v>
      </c>
      <c r="E273" s="41">
        <f>ROUND((X273*(1-$M$5))*(1+BDI!$C$21),2)</f>
        <v>7.31</v>
      </c>
      <c r="F273" s="41">
        <f>ROUND((Y273*(1-$N$5))*(1+BDI!$C$21),2)</f>
        <v>6.69</v>
      </c>
      <c r="G273" s="41">
        <f t="shared" si="336"/>
        <v>14</v>
      </c>
      <c r="H273" s="13">
        <f t="shared" si="329"/>
        <v>5453.2599999999993</v>
      </c>
      <c r="I273" s="13">
        <f t="shared" si="330"/>
        <v>4990.7400000000007</v>
      </c>
      <c r="J273" s="14">
        <f t="shared" si="331"/>
        <v>10444</v>
      </c>
      <c r="M273" s="54"/>
      <c r="N273" s="56"/>
      <c r="V273" s="74">
        <v>746</v>
      </c>
      <c r="W273" s="74" t="s">
        <v>46</v>
      </c>
      <c r="X273" s="13">
        <v>9.1300000000000008</v>
      </c>
      <c r="Y273" s="13">
        <v>8.36</v>
      </c>
      <c r="Z273" s="13">
        <f t="shared" si="332"/>
        <v>17.490000000000002</v>
      </c>
      <c r="AB273" s="74">
        <v>746</v>
      </c>
      <c r="AC273" s="74" t="s">
        <v>46</v>
      </c>
      <c r="AD273" s="13">
        <v>11.76</v>
      </c>
      <c r="AE273" s="13">
        <v>10.77</v>
      </c>
      <c r="AF273" s="13">
        <f t="shared" si="333"/>
        <v>22.53</v>
      </c>
      <c r="AH273" s="89">
        <f t="shared" si="287"/>
        <v>-0.37840136054421769</v>
      </c>
      <c r="AI273" s="89">
        <f t="shared" si="288"/>
        <v>-0.37883008356545955</v>
      </c>
      <c r="AJ273" s="89">
        <f t="shared" si="289"/>
        <v>-0.37860630270750117</v>
      </c>
    </row>
    <row r="274" spans="1:36" x14ac:dyDescent="0.3">
      <c r="A274" s="17" t="s">
        <v>543</v>
      </c>
      <c r="B274" s="44" t="s">
        <v>544</v>
      </c>
      <c r="C274" s="12">
        <f t="shared" si="334"/>
        <v>855</v>
      </c>
      <c r="D274" s="41" t="str">
        <f t="shared" si="335"/>
        <v>UN</v>
      </c>
      <c r="E274" s="41">
        <f>ROUND((X274*(1-$M$5))*(1+BDI!$C$21),2)</f>
        <v>12.92</v>
      </c>
      <c r="F274" s="41">
        <f>ROUND((Y274*(1-$N$5))*(1+BDI!$C$21),2)</f>
        <v>10.02</v>
      </c>
      <c r="G274" s="41">
        <f t="shared" si="336"/>
        <v>22.939999999999998</v>
      </c>
      <c r="H274" s="13">
        <f t="shared" si="329"/>
        <v>11046.6</v>
      </c>
      <c r="I274" s="13">
        <f t="shared" si="330"/>
        <v>8567.1</v>
      </c>
      <c r="J274" s="14">
        <f t="shared" si="331"/>
        <v>19613.699999999997</v>
      </c>
      <c r="M274" s="54"/>
      <c r="N274" s="56"/>
      <c r="V274" s="74">
        <v>855</v>
      </c>
      <c r="W274" s="74" t="s">
        <v>46</v>
      </c>
      <c r="X274" s="13">
        <v>16.14</v>
      </c>
      <c r="Y274" s="13">
        <v>12.52</v>
      </c>
      <c r="Z274" s="13">
        <f t="shared" si="332"/>
        <v>28.66</v>
      </c>
      <c r="AB274" s="74">
        <v>855</v>
      </c>
      <c r="AC274" s="74" t="s">
        <v>46</v>
      </c>
      <c r="AD274" s="13">
        <v>20.79</v>
      </c>
      <c r="AE274" s="13">
        <v>16.13</v>
      </c>
      <c r="AF274" s="13">
        <f t="shared" si="333"/>
        <v>36.92</v>
      </c>
      <c r="AH274" s="89">
        <f t="shared" si="287"/>
        <v>-0.37854737854737852</v>
      </c>
      <c r="AI274" s="89">
        <f t="shared" si="288"/>
        <v>-0.37879727216367021</v>
      </c>
      <c r="AJ274" s="89">
        <f t="shared" si="289"/>
        <v>-0.37865655471289283</v>
      </c>
    </row>
    <row r="275" spans="1:36" x14ac:dyDescent="0.3">
      <c r="A275" s="17" t="s">
        <v>545</v>
      </c>
      <c r="B275" s="44" t="s">
        <v>546</v>
      </c>
      <c r="C275" s="12">
        <f t="shared" si="334"/>
        <v>2016</v>
      </c>
      <c r="D275" s="41" t="str">
        <f t="shared" si="335"/>
        <v>UN</v>
      </c>
      <c r="E275" s="41">
        <f>ROUND((X275*(1-$M$5))*(1+BDI!$C$21),2)</f>
        <v>15.02</v>
      </c>
      <c r="F275" s="41">
        <f>ROUND((Y275*(1-$N$5))*(1+BDI!$C$21),2)</f>
        <v>10.02</v>
      </c>
      <c r="G275" s="41">
        <f t="shared" si="336"/>
        <v>25.04</v>
      </c>
      <c r="H275" s="13">
        <f t="shared" si="329"/>
        <v>30280.32</v>
      </c>
      <c r="I275" s="13">
        <f t="shared" si="330"/>
        <v>20200.32</v>
      </c>
      <c r="J275" s="14">
        <f t="shared" si="331"/>
        <v>50480.639999999999</v>
      </c>
      <c r="M275" s="54"/>
      <c r="N275" s="56"/>
      <c r="V275" s="74">
        <v>2016</v>
      </c>
      <c r="W275" s="74" t="s">
        <v>46</v>
      </c>
      <c r="X275" s="13">
        <v>18.760000000000002</v>
      </c>
      <c r="Y275" s="13">
        <v>12.52</v>
      </c>
      <c r="Z275" s="13">
        <f t="shared" si="332"/>
        <v>31.28</v>
      </c>
      <c r="AB275" s="74">
        <v>2016</v>
      </c>
      <c r="AC275" s="74" t="s">
        <v>46</v>
      </c>
      <c r="AD275" s="13">
        <v>24.17</v>
      </c>
      <c r="AE275" s="13">
        <v>16.13</v>
      </c>
      <c r="AF275" s="13">
        <f t="shared" si="333"/>
        <v>40.299999999999997</v>
      </c>
      <c r="AH275" s="89">
        <f t="shared" si="287"/>
        <v>-0.37856847331402577</v>
      </c>
      <c r="AI275" s="89">
        <f t="shared" si="288"/>
        <v>-0.37879727216367021</v>
      </c>
      <c r="AJ275" s="89">
        <f t="shared" si="289"/>
        <v>-0.37866004962779154</v>
      </c>
    </row>
    <row r="276" spans="1:36" x14ac:dyDescent="0.3">
      <c r="A276" s="17" t="s">
        <v>547</v>
      </c>
      <c r="B276" s="44" t="s">
        <v>548</v>
      </c>
      <c r="C276" s="12">
        <f t="shared" si="334"/>
        <v>1982</v>
      </c>
      <c r="D276" s="41" t="str">
        <f t="shared" si="335"/>
        <v>UN</v>
      </c>
      <c r="E276" s="41">
        <f>ROUND((X276*(1-$M$5))*(1+BDI!$C$21),2)</f>
        <v>14.11</v>
      </c>
      <c r="F276" s="41">
        <f>ROUND((Y276*(1-$N$5))*(1+BDI!$C$21),2)</f>
        <v>10.02</v>
      </c>
      <c r="G276" s="41">
        <f t="shared" si="336"/>
        <v>24.13</v>
      </c>
      <c r="H276" s="13">
        <f t="shared" si="329"/>
        <v>27966.02</v>
      </c>
      <c r="I276" s="13">
        <f t="shared" si="330"/>
        <v>19859.64</v>
      </c>
      <c r="J276" s="14">
        <f t="shared" si="331"/>
        <v>47825.659999999996</v>
      </c>
      <c r="M276" s="54"/>
      <c r="N276" s="56"/>
      <c r="V276" s="74">
        <v>1982</v>
      </c>
      <c r="W276" s="74" t="s">
        <v>46</v>
      </c>
      <c r="X276" s="13">
        <v>17.63</v>
      </c>
      <c r="Y276" s="13">
        <v>12.52</v>
      </c>
      <c r="Z276" s="13">
        <f t="shared" si="332"/>
        <v>30.15</v>
      </c>
      <c r="AB276" s="74">
        <v>1982</v>
      </c>
      <c r="AC276" s="74" t="s">
        <v>46</v>
      </c>
      <c r="AD276" s="13">
        <v>22.71</v>
      </c>
      <c r="AE276" s="13">
        <v>16.13</v>
      </c>
      <c r="AF276" s="13">
        <f t="shared" si="333"/>
        <v>38.840000000000003</v>
      </c>
      <c r="AH276" s="89">
        <f t="shared" si="287"/>
        <v>-0.37868780273007485</v>
      </c>
      <c r="AI276" s="89">
        <f t="shared" si="288"/>
        <v>-0.37879727216367021</v>
      </c>
      <c r="AJ276" s="89">
        <f t="shared" si="289"/>
        <v>-0.37873326467559221</v>
      </c>
    </row>
    <row r="277" spans="1:36" x14ac:dyDescent="0.3">
      <c r="A277" s="17" t="s">
        <v>549</v>
      </c>
      <c r="B277" s="44" t="s">
        <v>550</v>
      </c>
      <c r="C277" s="12">
        <f t="shared" si="334"/>
        <v>1</v>
      </c>
      <c r="D277" s="41" t="str">
        <f t="shared" si="335"/>
        <v>UN</v>
      </c>
      <c r="E277" s="41">
        <f>ROUND((X277*(1-$M$5))*(1+BDI!$C$21),2)</f>
        <v>21.37</v>
      </c>
      <c r="F277" s="41">
        <f>ROUND((Y277*(1-$N$5))*(1+BDI!$C$21),2)</f>
        <v>6.69</v>
      </c>
      <c r="G277" s="41">
        <f t="shared" si="336"/>
        <v>28.060000000000002</v>
      </c>
      <c r="H277" s="13">
        <f t="shared" si="329"/>
        <v>21.37</v>
      </c>
      <c r="I277" s="13">
        <f t="shared" si="330"/>
        <v>6.69</v>
      </c>
      <c r="J277" s="14">
        <f t="shared" si="331"/>
        <v>28.060000000000002</v>
      </c>
      <c r="M277" s="54"/>
      <c r="N277" s="56"/>
      <c r="V277" s="74">
        <v>1</v>
      </c>
      <c r="W277" s="74" t="s">
        <v>46</v>
      </c>
      <c r="X277" s="13">
        <v>26.7</v>
      </c>
      <c r="Y277" s="13">
        <v>8.36</v>
      </c>
      <c r="Z277" s="13">
        <f t="shared" si="332"/>
        <v>35.06</v>
      </c>
      <c r="AB277" s="74">
        <v>1</v>
      </c>
      <c r="AC277" s="74" t="s">
        <v>46</v>
      </c>
      <c r="AD277" s="13">
        <v>34.39</v>
      </c>
      <c r="AE277" s="13">
        <v>10.77</v>
      </c>
      <c r="AF277" s="13">
        <f t="shared" si="333"/>
        <v>45.16</v>
      </c>
      <c r="AH277" s="89">
        <f t="shared" si="287"/>
        <v>-0.3785984297760977</v>
      </c>
      <c r="AI277" s="89">
        <f t="shared" si="288"/>
        <v>-0.37883008356545955</v>
      </c>
      <c r="AJ277" s="89">
        <f t="shared" si="289"/>
        <v>-0.37865367581930898</v>
      </c>
    </row>
    <row r="278" spans="1:36" x14ac:dyDescent="0.3">
      <c r="A278" s="17" t="s">
        <v>551</v>
      </c>
      <c r="B278" s="44" t="s">
        <v>552</v>
      </c>
      <c r="C278" s="12">
        <f t="shared" si="334"/>
        <v>1</v>
      </c>
      <c r="D278" s="41" t="str">
        <f t="shared" si="335"/>
        <v>UN</v>
      </c>
      <c r="E278" s="41">
        <f>ROUND((X278*(1-$M$5))*(1+BDI!$C$21),2)</f>
        <v>25.91</v>
      </c>
      <c r="F278" s="41">
        <f>ROUND((Y278*(1-$N$5))*(1+BDI!$C$21),2)</f>
        <v>6.69</v>
      </c>
      <c r="G278" s="41">
        <f t="shared" si="336"/>
        <v>32.6</v>
      </c>
      <c r="H278" s="13">
        <f t="shared" si="329"/>
        <v>25.91</v>
      </c>
      <c r="I278" s="13">
        <f t="shared" si="330"/>
        <v>6.69</v>
      </c>
      <c r="J278" s="14">
        <f t="shared" si="331"/>
        <v>32.6</v>
      </c>
      <c r="M278" s="54"/>
      <c r="N278" s="56"/>
      <c r="V278" s="74">
        <v>1</v>
      </c>
      <c r="W278" s="74" t="s">
        <v>46</v>
      </c>
      <c r="X278" s="13">
        <v>32.369999999999997</v>
      </c>
      <c r="Y278" s="13">
        <v>8.36</v>
      </c>
      <c r="Z278" s="13">
        <f t="shared" si="332"/>
        <v>40.729999999999997</v>
      </c>
      <c r="AB278" s="74">
        <v>1</v>
      </c>
      <c r="AC278" s="74" t="s">
        <v>46</v>
      </c>
      <c r="AD278" s="13">
        <v>41.7</v>
      </c>
      <c r="AE278" s="13">
        <v>10.77</v>
      </c>
      <c r="AF278" s="13">
        <f t="shared" si="333"/>
        <v>52.47</v>
      </c>
      <c r="AH278" s="89">
        <f t="shared" si="287"/>
        <v>-0.37865707434052764</v>
      </c>
      <c r="AI278" s="89">
        <f t="shared" si="288"/>
        <v>-0.37883008356545955</v>
      </c>
      <c r="AJ278" s="89">
        <f t="shared" si="289"/>
        <v>-0.37869258623975599</v>
      </c>
    </row>
    <row r="279" spans="1:36" x14ac:dyDescent="0.3">
      <c r="A279" s="17" t="s">
        <v>553</v>
      </c>
      <c r="B279" s="44" t="s">
        <v>554</v>
      </c>
      <c r="C279" s="12">
        <f t="shared" si="334"/>
        <v>295</v>
      </c>
      <c r="D279" s="41" t="str">
        <f t="shared" si="335"/>
        <v>UN</v>
      </c>
      <c r="E279" s="41">
        <f>ROUND((X279*(1-$M$5))*(1+BDI!$C$21),2)</f>
        <v>10.01</v>
      </c>
      <c r="F279" s="41">
        <f>ROUND((Y279*(1-$N$5))*(1+BDI!$C$21),2)</f>
        <v>6.69</v>
      </c>
      <c r="G279" s="41">
        <f t="shared" si="336"/>
        <v>16.7</v>
      </c>
      <c r="H279" s="13">
        <f t="shared" si="329"/>
        <v>2952.95</v>
      </c>
      <c r="I279" s="13">
        <f t="shared" si="330"/>
        <v>1973.5500000000002</v>
      </c>
      <c r="J279" s="14">
        <f t="shared" si="331"/>
        <v>4926.5</v>
      </c>
      <c r="M279" s="54"/>
      <c r="N279" s="56"/>
      <c r="V279" s="74">
        <v>295</v>
      </c>
      <c r="W279" s="74" t="s">
        <v>46</v>
      </c>
      <c r="X279" s="13">
        <v>12.5</v>
      </c>
      <c r="Y279" s="13">
        <v>8.36</v>
      </c>
      <c r="Z279" s="13">
        <f t="shared" si="332"/>
        <v>20.86</v>
      </c>
      <c r="AB279" s="74">
        <v>295</v>
      </c>
      <c r="AC279" s="74" t="s">
        <v>46</v>
      </c>
      <c r="AD279" s="13">
        <v>16.100000000000001</v>
      </c>
      <c r="AE279" s="13">
        <v>10.77</v>
      </c>
      <c r="AF279" s="13">
        <f t="shared" si="333"/>
        <v>26.87</v>
      </c>
      <c r="AH279" s="89">
        <f t="shared" si="287"/>
        <v>-0.37826086956521743</v>
      </c>
      <c r="AI279" s="89">
        <f t="shared" si="288"/>
        <v>-0.37883008356545955</v>
      </c>
      <c r="AJ279" s="89">
        <f t="shared" si="289"/>
        <v>-0.37848902121324901</v>
      </c>
    </row>
    <row r="280" spans="1:36" x14ac:dyDescent="0.3">
      <c r="A280" s="17" t="s">
        <v>555</v>
      </c>
      <c r="B280" s="44" t="s">
        <v>556</v>
      </c>
      <c r="C280" s="12">
        <f t="shared" si="334"/>
        <v>25</v>
      </c>
      <c r="D280" s="41" t="str">
        <f t="shared" si="335"/>
        <v>UN</v>
      </c>
      <c r="E280" s="41">
        <f>ROUND((X280*(1-$M$5))*(1+BDI!$C$21),2)</f>
        <v>88.01</v>
      </c>
      <c r="F280" s="41">
        <f>ROUND((Y280*(1-$N$5))*(1+BDI!$C$21),2)</f>
        <v>6.69</v>
      </c>
      <c r="G280" s="41">
        <f t="shared" si="336"/>
        <v>94.7</v>
      </c>
      <c r="H280" s="13">
        <f t="shared" si="329"/>
        <v>2200.25</v>
      </c>
      <c r="I280" s="13">
        <f t="shared" si="330"/>
        <v>167.25</v>
      </c>
      <c r="J280" s="14">
        <f t="shared" si="331"/>
        <v>2367.5</v>
      </c>
      <c r="M280" s="54"/>
      <c r="N280" s="56"/>
      <c r="V280" s="74">
        <v>25</v>
      </c>
      <c r="W280" s="74" t="s">
        <v>46</v>
      </c>
      <c r="X280" s="13">
        <v>109.95</v>
      </c>
      <c r="Y280" s="13">
        <v>8.36</v>
      </c>
      <c r="Z280" s="13">
        <f t="shared" ref="Z280:Z311" si="337">SUM(X280:Y280)</f>
        <v>118.31</v>
      </c>
      <c r="AB280" s="74">
        <v>25</v>
      </c>
      <c r="AC280" s="74" t="s">
        <v>46</v>
      </c>
      <c r="AD280" s="13">
        <v>141.63999999999999</v>
      </c>
      <c r="AE280" s="13">
        <v>10.77</v>
      </c>
      <c r="AF280" s="13">
        <f t="shared" ref="AF280:AF311" si="338">SUM(AD280:AE280)</f>
        <v>152.41</v>
      </c>
      <c r="AH280" s="89">
        <f t="shared" si="287"/>
        <v>-0.37863597853713626</v>
      </c>
      <c r="AI280" s="89">
        <f t="shared" si="288"/>
        <v>-0.37883008356545955</v>
      </c>
      <c r="AJ280" s="89">
        <f t="shared" si="289"/>
        <v>-0.37864969490190925</v>
      </c>
    </row>
    <row r="281" spans="1:36" x14ac:dyDescent="0.3">
      <c r="A281" s="17" t="s">
        <v>557</v>
      </c>
      <c r="B281" s="44" t="s">
        <v>558</v>
      </c>
      <c r="C281" s="12">
        <f t="shared" si="334"/>
        <v>821</v>
      </c>
      <c r="D281" s="41" t="str">
        <f t="shared" si="335"/>
        <v>UN</v>
      </c>
      <c r="E281" s="41">
        <f>ROUND((X281*(1-$M$5))*(1+BDI!$C$21),2)</f>
        <v>3.73</v>
      </c>
      <c r="F281" s="41">
        <f>ROUND((Y281*(1-$N$5))*(1+BDI!$C$21),2)</f>
        <v>6.69</v>
      </c>
      <c r="G281" s="41">
        <f t="shared" si="336"/>
        <v>10.42</v>
      </c>
      <c r="H281" s="13">
        <f t="shared" si="329"/>
        <v>3062.33</v>
      </c>
      <c r="I281" s="13">
        <f t="shared" si="330"/>
        <v>5492.4900000000007</v>
      </c>
      <c r="J281" s="14">
        <f t="shared" si="331"/>
        <v>8554.82</v>
      </c>
      <c r="M281" s="54"/>
      <c r="N281" s="56"/>
      <c r="V281" s="74">
        <v>821</v>
      </c>
      <c r="W281" s="74" t="s">
        <v>46</v>
      </c>
      <c r="X281" s="13">
        <v>4.66</v>
      </c>
      <c r="Y281" s="13">
        <v>8.36</v>
      </c>
      <c r="Z281" s="13">
        <f t="shared" si="337"/>
        <v>13.02</v>
      </c>
      <c r="AB281" s="74">
        <v>821</v>
      </c>
      <c r="AC281" s="74" t="s">
        <v>46</v>
      </c>
      <c r="AD281" s="13">
        <v>6</v>
      </c>
      <c r="AE281" s="13">
        <v>10.77</v>
      </c>
      <c r="AF281" s="13">
        <f t="shared" si="338"/>
        <v>16.77</v>
      </c>
      <c r="AH281" s="89">
        <f t="shared" si="287"/>
        <v>-0.3783333333333333</v>
      </c>
      <c r="AI281" s="89">
        <f t="shared" si="288"/>
        <v>-0.37883008356545955</v>
      </c>
      <c r="AJ281" s="89">
        <f t="shared" si="289"/>
        <v>-0.37865235539654141</v>
      </c>
    </row>
    <row r="282" spans="1:36" x14ac:dyDescent="0.3">
      <c r="A282" s="17" t="s">
        <v>559</v>
      </c>
      <c r="B282" s="44" t="s">
        <v>560</v>
      </c>
      <c r="C282" s="12">
        <f t="shared" si="334"/>
        <v>29</v>
      </c>
      <c r="D282" s="41" t="str">
        <f t="shared" si="335"/>
        <v>UN</v>
      </c>
      <c r="E282" s="41">
        <f>ROUND((X282*(1-$M$5))*(1+BDI!$C$21),2)</f>
        <v>31.99</v>
      </c>
      <c r="F282" s="41">
        <f>ROUND((Y282*(1-$N$5))*(1+BDI!$C$21),2)</f>
        <v>10.02</v>
      </c>
      <c r="G282" s="41">
        <f t="shared" si="336"/>
        <v>42.01</v>
      </c>
      <c r="H282" s="13">
        <f t="shared" si="329"/>
        <v>927.70999999999992</v>
      </c>
      <c r="I282" s="13">
        <f t="shared" si="330"/>
        <v>290.58</v>
      </c>
      <c r="J282" s="14">
        <f t="shared" si="331"/>
        <v>1218.29</v>
      </c>
      <c r="M282" s="54"/>
      <c r="N282" s="56"/>
      <c r="V282" s="74">
        <v>29</v>
      </c>
      <c r="W282" s="74" t="s">
        <v>46</v>
      </c>
      <c r="X282" s="13">
        <v>39.96</v>
      </c>
      <c r="Y282" s="13">
        <v>12.52</v>
      </c>
      <c r="Z282" s="13">
        <f t="shared" si="337"/>
        <v>52.480000000000004</v>
      </c>
      <c r="AB282" s="74">
        <v>29</v>
      </c>
      <c r="AC282" s="74" t="s">
        <v>46</v>
      </c>
      <c r="AD282" s="13">
        <v>51.48</v>
      </c>
      <c r="AE282" s="13">
        <v>16.13</v>
      </c>
      <c r="AF282" s="13">
        <f t="shared" si="338"/>
        <v>67.61</v>
      </c>
      <c r="AH282" s="89">
        <f t="shared" si="287"/>
        <v>-0.37859362859362855</v>
      </c>
      <c r="AI282" s="89">
        <f t="shared" si="288"/>
        <v>-0.37879727216367021</v>
      </c>
      <c r="AJ282" s="89">
        <f t="shared" si="289"/>
        <v>-0.37864221269043041</v>
      </c>
    </row>
    <row r="283" spans="1:36" x14ac:dyDescent="0.3">
      <c r="A283" s="17" t="s">
        <v>561</v>
      </c>
      <c r="B283" s="44" t="s">
        <v>562</v>
      </c>
      <c r="C283" s="12">
        <f t="shared" si="334"/>
        <v>2967</v>
      </c>
      <c r="D283" s="41" t="str">
        <f t="shared" si="335"/>
        <v>UN</v>
      </c>
      <c r="E283" s="41">
        <f>ROUND((X283*(1-$M$5))*(1+BDI!$C$21),2)</f>
        <v>4.99</v>
      </c>
      <c r="F283" s="41">
        <f>ROUND((Y283*(1-$N$5))*(1+BDI!$C$21),2)</f>
        <v>10.02</v>
      </c>
      <c r="G283" s="41">
        <f t="shared" si="336"/>
        <v>15.01</v>
      </c>
      <c r="H283" s="13">
        <f t="shared" si="329"/>
        <v>14805.33</v>
      </c>
      <c r="I283" s="13">
        <f t="shared" si="330"/>
        <v>29729.34</v>
      </c>
      <c r="J283" s="14">
        <f t="shared" si="331"/>
        <v>44534.67</v>
      </c>
      <c r="M283" s="54"/>
      <c r="N283" s="56"/>
      <c r="V283" s="74">
        <v>2967</v>
      </c>
      <c r="W283" s="74" t="s">
        <v>46</v>
      </c>
      <c r="X283" s="13">
        <v>6.23</v>
      </c>
      <c r="Y283" s="13">
        <v>12.52</v>
      </c>
      <c r="Z283" s="13">
        <f t="shared" si="337"/>
        <v>18.75</v>
      </c>
      <c r="AB283" s="74">
        <v>2967</v>
      </c>
      <c r="AC283" s="74" t="s">
        <v>46</v>
      </c>
      <c r="AD283" s="13">
        <v>8.0299999999999994</v>
      </c>
      <c r="AE283" s="13">
        <v>16.13</v>
      </c>
      <c r="AF283" s="13">
        <f t="shared" si="338"/>
        <v>24.159999999999997</v>
      </c>
      <c r="AH283" s="89">
        <f t="shared" ref="AH283:AH346" si="339">IF(E283=0,0,(E283/AD283)-1)</f>
        <v>-0.3785803237858032</v>
      </c>
      <c r="AI283" s="89">
        <f t="shared" si="288"/>
        <v>-0.37879727216367021</v>
      </c>
      <c r="AJ283" s="89">
        <f t="shared" si="289"/>
        <v>-0.3787251655629138</v>
      </c>
    </row>
    <row r="284" spans="1:36" x14ac:dyDescent="0.3">
      <c r="A284" s="17" t="s">
        <v>563</v>
      </c>
      <c r="B284" s="44" t="s">
        <v>564</v>
      </c>
      <c r="C284" s="12">
        <f t="shared" si="334"/>
        <v>44</v>
      </c>
      <c r="D284" s="41" t="str">
        <f t="shared" si="335"/>
        <v>UN</v>
      </c>
      <c r="E284" s="41">
        <f>ROUND((X284*(1-$M$5))*(1+BDI!$C$21),2)</f>
        <v>7.15</v>
      </c>
      <c r="F284" s="41">
        <f>ROUND((Y284*(1-$N$5))*(1+BDI!$C$21),2)</f>
        <v>10.02</v>
      </c>
      <c r="G284" s="41">
        <f t="shared" si="336"/>
        <v>17.170000000000002</v>
      </c>
      <c r="H284" s="13">
        <f t="shared" si="329"/>
        <v>314.60000000000002</v>
      </c>
      <c r="I284" s="13">
        <f t="shared" si="330"/>
        <v>440.88</v>
      </c>
      <c r="J284" s="14">
        <f t="shared" si="331"/>
        <v>755.48</v>
      </c>
      <c r="M284" s="54"/>
      <c r="N284" s="56"/>
      <c r="V284" s="74">
        <v>44</v>
      </c>
      <c r="W284" s="74" t="s">
        <v>46</v>
      </c>
      <c r="X284" s="13">
        <v>8.93</v>
      </c>
      <c r="Y284" s="13">
        <v>12.52</v>
      </c>
      <c r="Z284" s="13">
        <f t="shared" si="337"/>
        <v>21.45</v>
      </c>
      <c r="AB284" s="74">
        <v>44</v>
      </c>
      <c r="AC284" s="74" t="s">
        <v>46</v>
      </c>
      <c r="AD284" s="13">
        <v>11.5</v>
      </c>
      <c r="AE284" s="13">
        <v>16.13</v>
      </c>
      <c r="AF284" s="13">
        <f t="shared" si="338"/>
        <v>27.63</v>
      </c>
      <c r="AH284" s="89">
        <f t="shared" si="339"/>
        <v>-0.37826086956521732</v>
      </c>
      <c r="AI284" s="89">
        <f t="shared" ref="AI284:AI347" si="340">IF(F284=0,0,(F284/AE284)-1)</f>
        <v>-0.37879727216367021</v>
      </c>
      <c r="AJ284" s="89">
        <f t="shared" ref="AJ284:AJ347" si="341">IF(G284=0,0,(G284/AF284)-1)</f>
        <v>-0.37857401375316679</v>
      </c>
    </row>
    <row r="285" spans="1:36" x14ac:dyDescent="0.3">
      <c r="A285" s="17" t="s">
        <v>565</v>
      </c>
      <c r="B285" s="44" t="s">
        <v>566</v>
      </c>
      <c r="C285" s="12">
        <f t="shared" si="334"/>
        <v>1</v>
      </c>
      <c r="D285" s="41" t="str">
        <f t="shared" si="335"/>
        <v>UN</v>
      </c>
      <c r="E285" s="41">
        <f>ROUND((X285*(1-$M$5))*(1+BDI!$C$21),2)</f>
        <v>31.3</v>
      </c>
      <c r="F285" s="41">
        <f>ROUND((Y285*(1-$N$5))*(1+BDI!$C$21),2)</f>
        <v>10.02</v>
      </c>
      <c r="G285" s="41">
        <f t="shared" si="336"/>
        <v>41.32</v>
      </c>
      <c r="H285" s="13">
        <f t="shared" si="329"/>
        <v>31.3</v>
      </c>
      <c r="I285" s="13">
        <f t="shared" si="330"/>
        <v>10.02</v>
      </c>
      <c r="J285" s="14">
        <f t="shared" si="331"/>
        <v>41.32</v>
      </c>
      <c r="M285" s="54"/>
      <c r="N285" s="56"/>
      <c r="V285" s="74">
        <v>1</v>
      </c>
      <c r="W285" s="74" t="s">
        <v>46</v>
      </c>
      <c r="X285" s="13">
        <v>39.1</v>
      </c>
      <c r="Y285" s="13">
        <v>12.52</v>
      </c>
      <c r="Z285" s="13">
        <f t="shared" si="337"/>
        <v>51.620000000000005</v>
      </c>
      <c r="AB285" s="74">
        <v>1</v>
      </c>
      <c r="AC285" s="74" t="s">
        <v>46</v>
      </c>
      <c r="AD285" s="13">
        <v>50.37</v>
      </c>
      <c r="AE285" s="13">
        <v>16.13</v>
      </c>
      <c r="AF285" s="13">
        <f t="shared" si="338"/>
        <v>66.5</v>
      </c>
      <c r="AH285" s="89">
        <f t="shared" si="339"/>
        <v>-0.3785983720468532</v>
      </c>
      <c r="AI285" s="89">
        <f t="shared" si="340"/>
        <v>-0.37879727216367021</v>
      </c>
      <c r="AJ285" s="89">
        <f t="shared" si="341"/>
        <v>-0.37864661654135334</v>
      </c>
    </row>
    <row r="286" spans="1:36" x14ac:dyDescent="0.3">
      <c r="A286" s="17" t="s">
        <v>567</v>
      </c>
      <c r="B286" s="44" t="s">
        <v>568</v>
      </c>
      <c r="C286" s="12">
        <f t="shared" si="334"/>
        <v>3</v>
      </c>
      <c r="D286" s="41" t="str">
        <f t="shared" si="335"/>
        <v>UN</v>
      </c>
      <c r="E286" s="41">
        <f>ROUND((X286*(1-$M$5))*(1+BDI!$C$21),2)</f>
        <v>20.52</v>
      </c>
      <c r="F286" s="41">
        <f>ROUND((Y286*(1-$N$5))*(1+BDI!$C$21),2)</f>
        <v>16.190000000000001</v>
      </c>
      <c r="G286" s="41">
        <f t="shared" si="336"/>
        <v>36.71</v>
      </c>
      <c r="H286" s="13">
        <f t="shared" si="329"/>
        <v>61.56</v>
      </c>
      <c r="I286" s="13">
        <f t="shared" si="330"/>
        <v>48.570000000000007</v>
      </c>
      <c r="J286" s="14">
        <f t="shared" si="331"/>
        <v>110.13</v>
      </c>
      <c r="M286" s="54"/>
      <c r="N286" s="56"/>
      <c r="V286" s="74">
        <v>3</v>
      </c>
      <c r="W286" s="74" t="s">
        <v>46</v>
      </c>
      <c r="X286" s="13">
        <v>25.64</v>
      </c>
      <c r="Y286" s="13">
        <v>20.22</v>
      </c>
      <c r="Z286" s="13">
        <f t="shared" si="337"/>
        <v>45.86</v>
      </c>
      <c r="AB286" s="74">
        <v>3</v>
      </c>
      <c r="AC286" s="74" t="s">
        <v>46</v>
      </c>
      <c r="AD286" s="13">
        <v>33.03</v>
      </c>
      <c r="AE286" s="13">
        <v>26.05</v>
      </c>
      <c r="AF286" s="13">
        <f t="shared" si="338"/>
        <v>59.08</v>
      </c>
      <c r="AH286" s="89">
        <f t="shared" si="339"/>
        <v>-0.37874659400544963</v>
      </c>
      <c r="AI286" s="89">
        <f t="shared" si="340"/>
        <v>-0.37850287907869473</v>
      </c>
      <c r="AJ286" s="89">
        <f t="shared" si="341"/>
        <v>-0.37863913337846988</v>
      </c>
    </row>
    <row r="287" spans="1:36" x14ac:dyDescent="0.3">
      <c r="A287" s="17" t="s">
        <v>569</v>
      </c>
      <c r="B287" s="44" t="s">
        <v>570</v>
      </c>
      <c r="C287" s="12">
        <f t="shared" si="334"/>
        <v>7</v>
      </c>
      <c r="D287" s="41" t="str">
        <f t="shared" si="335"/>
        <v>UN</v>
      </c>
      <c r="E287" s="41">
        <f>ROUND((X287*(1-$M$5))*(1+BDI!$C$21),2)</f>
        <v>62.02</v>
      </c>
      <c r="F287" s="41">
        <f>ROUND((Y287*(1-$N$5))*(1+BDI!$C$21),2)</f>
        <v>16.190000000000001</v>
      </c>
      <c r="G287" s="41">
        <f t="shared" si="336"/>
        <v>78.210000000000008</v>
      </c>
      <c r="H287" s="13">
        <f t="shared" si="329"/>
        <v>434.14000000000004</v>
      </c>
      <c r="I287" s="13">
        <f t="shared" si="330"/>
        <v>113.33000000000001</v>
      </c>
      <c r="J287" s="14">
        <f t="shared" si="331"/>
        <v>547.47</v>
      </c>
      <c r="M287" s="54"/>
      <c r="N287" s="56"/>
      <c r="V287" s="74">
        <v>7</v>
      </c>
      <c r="W287" s="74" t="s">
        <v>46</v>
      </c>
      <c r="X287" s="13">
        <v>77.48</v>
      </c>
      <c r="Y287" s="13">
        <v>20.22</v>
      </c>
      <c r="Z287" s="13">
        <f t="shared" si="337"/>
        <v>97.7</v>
      </c>
      <c r="AB287" s="74">
        <v>7</v>
      </c>
      <c r="AC287" s="74" t="s">
        <v>46</v>
      </c>
      <c r="AD287" s="13">
        <v>99.81</v>
      </c>
      <c r="AE287" s="13">
        <v>26.05</v>
      </c>
      <c r="AF287" s="13">
        <f t="shared" si="338"/>
        <v>125.86</v>
      </c>
      <c r="AH287" s="89">
        <f t="shared" si="339"/>
        <v>-0.37861937681595026</v>
      </c>
      <c r="AI287" s="89">
        <f t="shared" si="340"/>
        <v>-0.37850287907869473</v>
      </c>
      <c r="AJ287" s="89">
        <f t="shared" si="341"/>
        <v>-0.37859526457969161</v>
      </c>
    </row>
    <row r="288" spans="1:36" x14ac:dyDescent="0.3">
      <c r="A288" s="17" t="s">
        <v>571</v>
      </c>
      <c r="B288" s="44" t="s">
        <v>572</v>
      </c>
      <c r="C288" s="12">
        <f t="shared" si="334"/>
        <v>25</v>
      </c>
      <c r="D288" s="41" t="str">
        <f t="shared" si="335"/>
        <v>UN</v>
      </c>
      <c r="E288" s="41">
        <f>ROUND((X288*(1-$M$5))*(1+BDI!$C$21),2)</f>
        <v>59.24</v>
      </c>
      <c r="F288" s="41">
        <f>ROUND((Y288*(1-$N$5))*(1+BDI!$C$21),2)</f>
        <v>16.190000000000001</v>
      </c>
      <c r="G288" s="41">
        <f t="shared" si="336"/>
        <v>75.430000000000007</v>
      </c>
      <c r="H288" s="13">
        <f t="shared" si="329"/>
        <v>1481</v>
      </c>
      <c r="I288" s="13">
        <f t="shared" si="330"/>
        <v>404.75000000000006</v>
      </c>
      <c r="J288" s="14">
        <f t="shared" si="331"/>
        <v>1885.7500000000002</v>
      </c>
      <c r="M288" s="54"/>
      <c r="N288" s="56"/>
      <c r="V288" s="74">
        <v>25</v>
      </c>
      <c r="W288" s="74" t="s">
        <v>46</v>
      </c>
      <c r="X288" s="13">
        <v>74</v>
      </c>
      <c r="Y288" s="13">
        <v>20.22</v>
      </c>
      <c r="Z288" s="13">
        <f t="shared" si="337"/>
        <v>94.22</v>
      </c>
      <c r="AB288" s="74">
        <v>25</v>
      </c>
      <c r="AC288" s="74" t="s">
        <v>46</v>
      </c>
      <c r="AD288" s="13">
        <v>95.33</v>
      </c>
      <c r="AE288" s="13">
        <v>26.05</v>
      </c>
      <c r="AF288" s="13">
        <f t="shared" si="338"/>
        <v>121.38</v>
      </c>
      <c r="AH288" s="89">
        <f t="shared" si="339"/>
        <v>-0.37857967061785369</v>
      </c>
      <c r="AI288" s="89">
        <f t="shared" si="340"/>
        <v>-0.37850287907869473</v>
      </c>
      <c r="AJ288" s="89">
        <f t="shared" si="341"/>
        <v>-0.37856318998187499</v>
      </c>
    </row>
    <row r="289" spans="1:36" x14ac:dyDescent="0.3">
      <c r="A289" s="17" t="s">
        <v>573</v>
      </c>
      <c r="B289" s="44" t="s">
        <v>574</v>
      </c>
      <c r="C289" s="12">
        <f t="shared" si="334"/>
        <v>15</v>
      </c>
      <c r="D289" s="41" t="str">
        <f t="shared" si="335"/>
        <v>UN</v>
      </c>
      <c r="E289" s="41">
        <f>ROUND((X289*(1-$M$5))*(1+BDI!$C$21),2)</f>
        <v>349.04</v>
      </c>
      <c r="F289" s="41">
        <f>ROUND((Y289*(1-$N$5))*(1+BDI!$C$21),2)</f>
        <v>40.659999999999997</v>
      </c>
      <c r="G289" s="41">
        <f t="shared" si="336"/>
        <v>389.70000000000005</v>
      </c>
      <c r="H289" s="13">
        <f t="shared" si="329"/>
        <v>5235.6000000000004</v>
      </c>
      <c r="I289" s="13">
        <f t="shared" si="330"/>
        <v>609.9</v>
      </c>
      <c r="J289" s="14">
        <f t="shared" si="331"/>
        <v>5845.5000000000009</v>
      </c>
      <c r="M289" s="54"/>
      <c r="N289" s="56"/>
      <c r="V289" s="74">
        <v>15</v>
      </c>
      <c r="W289" s="74" t="s">
        <v>46</v>
      </c>
      <c r="X289" s="13">
        <v>436.04</v>
      </c>
      <c r="Y289" s="13">
        <v>50.79</v>
      </c>
      <c r="Z289" s="13">
        <f t="shared" si="337"/>
        <v>486.83000000000004</v>
      </c>
      <c r="AB289" s="74">
        <v>15</v>
      </c>
      <c r="AC289" s="74" t="s">
        <v>46</v>
      </c>
      <c r="AD289" s="13">
        <v>561.71</v>
      </c>
      <c r="AE289" s="13">
        <v>65.430000000000007</v>
      </c>
      <c r="AF289" s="13">
        <f t="shared" si="338"/>
        <v>627.1400000000001</v>
      </c>
      <c r="AH289" s="89">
        <f t="shared" si="339"/>
        <v>-0.37861173915365576</v>
      </c>
      <c r="AI289" s="89">
        <f t="shared" si="340"/>
        <v>-0.37857252025064969</v>
      </c>
      <c r="AJ289" s="89">
        <f t="shared" si="341"/>
        <v>-0.37860764741525021</v>
      </c>
    </row>
    <row r="290" spans="1:36" x14ac:dyDescent="0.3">
      <c r="A290" s="17" t="s">
        <v>575</v>
      </c>
      <c r="B290" s="44" t="s">
        <v>576</v>
      </c>
      <c r="C290" s="12">
        <f t="shared" si="334"/>
        <v>218</v>
      </c>
      <c r="D290" s="41" t="str">
        <f t="shared" si="335"/>
        <v>UN</v>
      </c>
      <c r="E290" s="41">
        <f>ROUND((X290*(1-$M$5))*(1+BDI!$C$21),2)</f>
        <v>9.3699999999999992</v>
      </c>
      <c r="F290" s="41">
        <f>ROUND((Y290*(1-$N$5))*(1+BDI!$C$21),2)</f>
        <v>7.26</v>
      </c>
      <c r="G290" s="41">
        <f t="shared" si="336"/>
        <v>16.63</v>
      </c>
      <c r="H290" s="13">
        <f t="shared" si="329"/>
        <v>2042.6599999999999</v>
      </c>
      <c r="I290" s="13">
        <f t="shared" si="330"/>
        <v>1582.68</v>
      </c>
      <c r="J290" s="14">
        <f t="shared" si="331"/>
        <v>3625.3399999999997</v>
      </c>
      <c r="M290" s="54"/>
      <c r="N290" s="56"/>
      <c r="V290" s="74">
        <v>218</v>
      </c>
      <c r="W290" s="74" t="s">
        <v>46</v>
      </c>
      <c r="X290" s="13">
        <v>11.7</v>
      </c>
      <c r="Y290" s="13">
        <v>9.07</v>
      </c>
      <c r="Z290" s="13">
        <f t="shared" si="337"/>
        <v>20.77</v>
      </c>
      <c r="AB290" s="74">
        <v>218</v>
      </c>
      <c r="AC290" s="74" t="s">
        <v>46</v>
      </c>
      <c r="AD290" s="13">
        <v>15.07</v>
      </c>
      <c r="AE290" s="13">
        <v>11.68</v>
      </c>
      <c r="AF290" s="13">
        <f t="shared" si="338"/>
        <v>26.75</v>
      </c>
      <c r="AH290" s="89">
        <f t="shared" si="339"/>
        <v>-0.37823490378234914</v>
      </c>
      <c r="AI290" s="89">
        <f t="shared" si="340"/>
        <v>-0.37842465753424659</v>
      </c>
      <c r="AJ290" s="89">
        <f t="shared" si="341"/>
        <v>-0.37831775700934578</v>
      </c>
    </row>
    <row r="291" spans="1:36" x14ac:dyDescent="0.3">
      <c r="A291" s="17" t="s">
        <v>577</v>
      </c>
      <c r="B291" s="44" t="s">
        <v>578</v>
      </c>
      <c r="C291" s="12">
        <f t="shared" si="334"/>
        <v>13</v>
      </c>
      <c r="D291" s="41" t="str">
        <f t="shared" si="335"/>
        <v>UN</v>
      </c>
      <c r="E291" s="41">
        <f>ROUND((X291*(1-$M$5))*(1+BDI!$C$21),2)</f>
        <v>104.54</v>
      </c>
      <c r="F291" s="41">
        <f>ROUND((Y291*(1-$N$5))*(1+BDI!$C$21),2)</f>
        <v>40.659999999999997</v>
      </c>
      <c r="G291" s="41">
        <f t="shared" si="336"/>
        <v>145.19999999999999</v>
      </c>
      <c r="H291" s="13">
        <f t="shared" si="329"/>
        <v>1359.02</v>
      </c>
      <c r="I291" s="13">
        <f t="shared" si="330"/>
        <v>528.57999999999993</v>
      </c>
      <c r="J291" s="14">
        <f t="shared" si="331"/>
        <v>1887.6</v>
      </c>
      <c r="M291" s="54"/>
      <c r="N291" s="56"/>
      <c r="V291" s="74">
        <v>13</v>
      </c>
      <c r="W291" s="74" t="s">
        <v>46</v>
      </c>
      <c r="X291" s="13">
        <v>130.59</v>
      </c>
      <c r="Y291" s="13">
        <v>50.79</v>
      </c>
      <c r="Z291" s="13">
        <f t="shared" si="337"/>
        <v>181.38</v>
      </c>
      <c r="AB291" s="74">
        <v>13</v>
      </c>
      <c r="AC291" s="74" t="s">
        <v>46</v>
      </c>
      <c r="AD291" s="13">
        <v>168.23</v>
      </c>
      <c r="AE291" s="13">
        <v>65.430000000000007</v>
      </c>
      <c r="AF291" s="13">
        <f t="shared" si="338"/>
        <v>233.66</v>
      </c>
      <c r="AH291" s="89">
        <f t="shared" si="339"/>
        <v>-0.37858883671164467</v>
      </c>
      <c r="AI291" s="89">
        <f t="shared" si="340"/>
        <v>-0.37857252025064969</v>
      </c>
      <c r="AJ291" s="89">
        <f t="shared" si="341"/>
        <v>-0.37858426773945053</v>
      </c>
    </row>
    <row r="292" spans="1:36" x14ac:dyDescent="0.3">
      <c r="A292" s="17" t="s">
        <v>579</v>
      </c>
      <c r="B292" s="44" t="s">
        <v>580</v>
      </c>
      <c r="C292" s="12">
        <f t="shared" si="334"/>
        <v>4</v>
      </c>
      <c r="D292" s="41" t="str">
        <f t="shared" si="335"/>
        <v>UN</v>
      </c>
      <c r="E292" s="41">
        <f>ROUND((X292*(1-$M$5))*(1+BDI!$C$21),2)</f>
        <v>152.01</v>
      </c>
      <c r="F292" s="41">
        <f>ROUND((Y292*(1-$N$5))*(1+BDI!$C$21),2)</f>
        <v>40.659999999999997</v>
      </c>
      <c r="G292" s="41">
        <f t="shared" si="336"/>
        <v>192.67</v>
      </c>
      <c r="H292" s="13">
        <f t="shared" si="329"/>
        <v>608.04</v>
      </c>
      <c r="I292" s="13">
        <f t="shared" si="330"/>
        <v>162.63999999999999</v>
      </c>
      <c r="J292" s="14">
        <f t="shared" si="331"/>
        <v>770.68</v>
      </c>
      <c r="M292" s="54"/>
      <c r="N292" s="56"/>
      <c r="V292" s="74">
        <v>4</v>
      </c>
      <c r="W292" s="74" t="s">
        <v>46</v>
      </c>
      <c r="X292" s="13">
        <v>189.9</v>
      </c>
      <c r="Y292" s="13">
        <v>50.79</v>
      </c>
      <c r="Z292" s="13">
        <f t="shared" si="337"/>
        <v>240.69</v>
      </c>
      <c r="AB292" s="74">
        <v>4</v>
      </c>
      <c r="AC292" s="74" t="s">
        <v>46</v>
      </c>
      <c r="AD292" s="13">
        <v>244.63</v>
      </c>
      <c r="AE292" s="13">
        <v>65.430000000000007</v>
      </c>
      <c r="AF292" s="13">
        <f t="shared" si="338"/>
        <v>310.06</v>
      </c>
      <c r="AH292" s="89">
        <f t="shared" si="339"/>
        <v>-0.37861259861832153</v>
      </c>
      <c r="AI292" s="89">
        <f t="shared" si="340"/>
        <v>-0.37857252025064969</v>
      </c>
      <c r="AJ292" s="89">
        <f t="shared" si="341"/>
        <v>-0.37860414113397411</v>
      </c>
    </row>
    <row r="293" spans="1:36" x14ac:dyDescent="0.3">
      <c r="A293" s="17" t="s">
        <v>581</v>
      </c>
      <c r="B293" s="44" t="s">
        <v>582</v>
      </c>
      <c r="C293" s="12">
        <f t="shared" si="334"/>
        <v>17</v>
      </c>
      <c r="D293" s="41" t="str">
        <f t="shared" si="335"/>
        <v>UN</v>
      </c>
      <c r="E293" s="41">
        <f>ROUND((X293*(1-$M$5))*(1+BDI!$C$21),2)</f>
        <v>30.63</v>
      </c>
      <c r="F293" s="41">
        <f>ROUND((Y293*(1-$N$5))*(1+BDI!$C$21),2)</f>
        <v>40.659999999999997</v>
      </c>
      <c r="G293" s="41">
        <f t="shared" si="336"/>
        <v>71.289999999999992</v>
      </c>
      <c r="H293" s="13">
        <f t="shared" si="329"/>
        <v>520.71</v>
      </c>
      <c r="I293" s="13">
        <f t="shared" si="330"/>
        <v>691.21999999999991</v>
      </c>
      <c r="J293" s="14">
        <f t="shared" si="331"/>
        <v>1211.9299999999998</v>
      </c>
      <c r="M293" s="54"/>
      <c r="N293" s="56"/>
      <c r="V293" s="74">
        <v>17</v>
      </c>
      <c r="W293" s="74" t="s">
        <v>46</v>
      </c>
      <c r="X293" s="13">
        <v>38.26</v>
      </c>
      <c r="Y293" s="13">
        <v>50.79</v>
      </c>
      <c r="Z293" s="13">
        <f t="shared" si="337"/>
        <v>89.05</v>
      </c>
      <c r="AB293" s="74">
        <v>17</v>
      </c>
      <c r="AC293" s="74" t="s">
        <v>46</v>
      </c>
      <c r="AD293" s="13">
        <v>49.29</v>
      </c>
      <c r="AE293" s="13">
        <v>65.430000000000007</v>
      </c>
      <c r="AF293" s="13">
        <f t="shared" si="338"/>
        <v>114.72</v>
      </c>
      <c r="AH293" s="89">
        <f t="shared" si="339"/>
        <v>-0.37857577601947656</v>
      </c>
      <c r="AI293" s="89">
        <f t="shared" si="340"/>
        <v>-0.37857252025064969</v>
      </c>
      <c r="AJ293" s="89">
        <f t="shared" si="341"/>
        <v>-0.37857391910739202</v>
      </c>
    </row>
    <row r="294" spans="1:36" ht="28.8" x14ac:dyDescent="0.3">
      <c r="A294" s="17" t="s">
        <v>583</v>
      </c>
      <c r="B294" s="44" t="s">
        <v>584</v>
      </c>
      <c r="C294" s="12">
        <f t="shared" si="334"/>
        <v>11</v>
      </c>
      <c r="D294" s="41" t="str">
        <f t="shared" si="335"/>
        <v>UN</v>
      </c>
      <c r="E294" s="41">
        <f>ROUND((X294*(1-$M$5))*(1+BDI!$C$21),2)</f>
        <v>112.88</v>
      </c>
      <c r="F294" s="41">
        <f>ROUND((Y294*(1-$N$5))*(1+BDI!$C$21),2)</f>
        <v>40.659999999999997</v>
      </c>
      <c r="G294" s="41">
        <f t="shared" si="336"/>
        <v>153.54</v>
      </c>
      <c r="H294" s="13">
        <f t="shared" si="329"/>
        <v>1241.6799999999998</v>
      </c>
      <c r="I294" s="13">
        <f t="shared" si="330"/>
        <v>447.26</v>
      </c>
      <c r="J294" s="14">
        <f t="shared" si="331"/>
        <v>1688.9399999999998</v>
      </c>
      <c r="M294" s="54"/>
      <c r="N294" s="56"/>
      <c r="V294" s="74">
        <v>11</v>
      </c>
      <c r="W294" s="74" t="s">
        <v>46</v>
      </c>
      <c r="X294" s="13">
        <v>141.02000000000001</v>
      </c>
      <c r="Y294" s="13">
        <v>50.79</v>
      </c>
      <c r="Z294" s="13">
        <f t="shared" si="337"/>
        <v>191.81</v>
      </c>
      <c r="AB294" s="74">
        <v>11</v>
      </c>
      <c r="AC294" s="74" t="s">
        <v>46</v>
      </c>
      <c r="AD294" s="13">
        <v>181.66</v>
      </c>
      <c r="AE294" s="13">
        <v>65.430000000000007</v>
      </c>
      <c r="AF294" s="13">
        <f t="shared" si="338"/>
        <v>247.09</v>
      </c>
      <c r="AH294" s="89">
        <f t="shared" si="339"/>
        <v>-0.37861939887702301</v>
      </c>
      <c r="AI294" s="89">
        <f t="shared" si="340"/>
        <v>-0.37857252025064969</v>
      </c>
      <c r="AJ294" s="89">
        <f t="shared" si="341"/>
        <v>-0.37860698530899672</v>
      </c>
    </row>
    <row r="295" spans="1:36" x14ac:dyDescent="0.3">
      <c r="A295" s="17" t="s">
        <v>585</v>
      </c>
      <c r="B295" s="44" t="s">
        <v>586</v>
      </c>
      <c r="C295" s="12">
        <f t="shared" si="334"/>
        <v>35</v>
      </c>
      <c r="D295" s="41" t="str">
        <f t="shared" si="335"/>
        <v>UN</v>
      </c>
      <c r="E295" s="41">
        <f>ROUND((X295*(1-$M$5))*(1+BDI!$C$21),2)</f>
        <v>40.53</v>
      </c>
      <c r="F295" s="41">
        <f>ROUND((Y295*(1-$N$5))*(1+BDI!$C$21),2)</f>
        <v>40.659999999999997</v>
      </c>
      <c r="G295" s="41">
        <f t="shared" si="336"/>
        <v>81.19</v>
      </c>
      <c r="H295" s="13">
        <f t="shared" si="329"/>
        <v>1418.55</v>
      </c>
      <c r="I295" s="13">
        <f t="shared" si="330"/>
        <v>1423.1</v>
      </c>
      <c r="J295" s="14">
        <f t="shared" si="331"/>
        <v>2841.65</v>
      </c>
      <c r="M295" s="54"/>
      <c r="N295" s="56"/>
      <c r="V295" s="74">
        <v>35</v>
      </c>
      <c r="W295" s="74" t="s">
        <v>46</v>
      </c>
      <c r="X295" s="13">
        <v>50.63</v>
      </c>
      <c r="Y295" s="13">
        <v>50.79</v>
      </c>
      <c r="Z295" s="13">
        <f t="shared" si="337"/>
        <v>101.42</v>
      </c>
      <c r="AB295" s="74">
        <v>35</v>
      </c>
      <c r="AC295" s="74" t="s">
        <v>46</v>
      </c>
      <c r="AD295" s="13">
        <v>65.22</v>
      </c>
      <c r="AE295" s="13">
        <v>65.430000000000007</v>
      </c>
      <c r="AF295" s="13">
        <f t="shared" si="338"/>
        <v>130.65</v>
      </c>
      <c r="AH295" s="89">
        <f t="shared" si="339"/>
        <v>-0.37856485740570378</v>
      </c>
      <c r="AI295" s="89">
        <f t="shared" si="340"/>
        <v>-0.37857252025064969</v>
      </c>
      <c r="AJ295" s="89">
        <f t="shared" si="341"/>
        <v>-0.3785686949866055</v>
      </c>
    </row>
    <row r="296" spans="1:36" x14ac:dyDescent="0.3">
      <c r="A296" s="17" t="s">
        <v>587</v>
      </c>
      <c r="B296" s="44" t="s">
        <v>588</v>
      </c>
      <c r="C296" s="12">
        <f t="shared" si="334"/>
        <v>6</v>
      </c>
      <c r="D296" s="41" t="str">
        <f t="shared" si="335"/>
        <v>UN</v>
      </c>
      <c r="E296" s="41">
        <f>ROUND((X296*(1-$M$5))*(1+BDI!$C$21),2)</f>
        <v>16.739999999999998</v>
      </c>
      <c r="F296" s="41">
        <f>ROUND((Y296*(1-$N$5))*(1+BDI!$C$21),2)</f>
        <v>17.8</v>
      </c>
      <c r="G296" s="41">
        <f t="shared" si="336"/>
        <v>34.54</v>
      </c>
      <c r="H296" s="13">
        <f t="shared" si="329"/>
        <v>100.44</v>
      </c>
      <c r="I296" s="13">
        <f t="shared" si="330"/>
        <v>106.80000000000001</v>
      </c>
      <c r="J296" s="14">
        <f t="shared" si="331"/>
        <v>207.24</v>
      </c>
      <c r="M296" s="54"/>
      <c r="N296" s="56"/>
      <c r="V296" s="74">
        <v>6</v>
      </c>
      <c r="W296" s="74" t="s">
        <v>46</v>
      </c>
      <c r="X296" s="13">
        <v>20.91</v>
      </c>
      <c r="Y296" s="13">
        <v>22.24</v>
      </c>
      <c r="Z296" s="13">
        <f t="shared" si="337"/>
        <v>43.15</v>
      </c>
      <c r="AB296" s="74">
        <v>6</v>
      </c>
      <c r="AC296" s="74" t="s">
        <v>46</v>
      </c>
      <c r="AD296" s="13">
        <v>26.94</v>
      </c>
      <c r="AE296" s="13">
        <v>28.65</v>
      </c>
      <c r="AF296" s="13">
        <f t="shared" si="338"/>
        <v>55.59</v>
      </c>
      <c r="AH296" s="89">
        <f t="shared" si="339"/>
        <v>-0.37861915367483301</v>
      </c>
      <c r="AI296" s="89">
        <f t="shared" si="340"/>
        <v>-0.37870855148342053</v>
      </c>
      <c r="AJ296" s="89">
        <f t="shared" si="341"/>
        <v>-0.37866522755891352</v>
      </c>
    </row>
    <row r="297" spans="1:36" x14ac:dyDescent="0.3">
      <c r="A297" s="17" t="s">
        <v>589</v>
      </c>
      <c r="B297" s="44" t="s">
        <v>590</v>
      </c>
      <c r="C297" s="12">
        <f t="shared" si="334"/>
        <v>23</v>
      </c>
      <c r="D297" s="41" t="str">
        <f t="shared" si="335"/>
        <v>UN</v>
      </c>
      <c r="E297" s="41">
        <f>ROUND((X297*(1-$M$5))*(1+BDI!$C$21),2)</f>
        <v>72.319999999999993</v>
      </c>
      <c r="F297" s="41">
        <f>ROUND((Y297*(1-$N$5))*(1+BDI!$C$21),2)</f>
        <v>20.32</v>
      </c>
      <c r="G297" s="41">
        <f t="shared" si="336"/>
        <v>92.639999999999986</v>
      </c>
      <c r="H297" s="13">
        <f t="shared" si="329"/>
        <v>1663.36</v>
      </c>
      <c r="I297" s="13">
        <f t="shared" si="330"/>
        <v>467.36</v>
      </c>
      <c r="J297" s="14">
        <f t="shared" si="331"/>
        <v>2130.7199999999998</v>
      </c>
      <c r="M297" s="54"/>
      <c r="N297" s="56"/>
      <c r="V297" s="74">
        <v>23</v>
      </c>
      <c r="W297" s="74" t="s">
        <v>46</v>
      </c>
      <c r="X297" s="13">
        <v>90.35</v>
      </c>
      <c r="Y297" s="13">
        <v>25.38</v>
      </c>
      <c r="Z297" s="13">
        <f t="shared" si="337"/>
        <v>115.72999999999999</v>
      </c>
      <c r="AB297" s="74">
        <v>23</v>
      </c>
      <c r="AC297" s="74" t="s">
        <v>46</v>
      </c>
      <c r="AD297" s="13">
        <v>116.39</v>
      </c>
      <c r="AE297" s="13">
        <v>32.69</v>
      </c>
      <c r="AF297" s="13">
        <f t="shared" si="338"/>
        <v>149.07999999999998</v>
      </c>
      <c r="AH297" s="89">
        <f t="shared" si="339"/>
        <v>-0.37864077669902918</v>
      </c>
      <c r="AI297" s="89">
        <f t="shared" si="340"/>
        <v>-0.37840318140104001</v>
      </c>
      <c r="AJ297" s="89">
        <f t="shared" si="341"/>
        <v>-0.37858867722028444</v>
      </c>
    </row>
    <row r="298" spans="1:36" x14ac:dyDescent="0.3">
      <c r="A298" s="17" t="s">
        <v>591</v>
      </c>
      <c r="B298" s="44" t="s">
        <v>592</v>
      </c>
      <c r="C298" s="12">
        <f t="shared" si="334"/>
        <v>30</v>
      </c>
      <c r="D298" s="41" t="str">
        <f t="shared" si="335"/>
        <v>UN</v>
      </c>
      <c r="E298" s="41">
        <f>ROUND((X298*(1-$M$5))*(1+BDI!$C$21),2)</f>
        <v>31.22</v>
      </c>
      <c r="F298" s="41">
        <f>ROUND((Y298*(1-$N$5))*(1+BDI!$C$21),2)</f>
        <v>107.91</v>
      </c>
      <c r="G298" s="41">
        <f t="shared" si="336"/>
        <v>139.13</v>
      </c>
      <c r="H298" s="13">
        <f t="shared" si="329"/>
        <v>936.59999999999991</v>
      </c>
      <c r="I298" s="13">
        <f t="shared" si="330"/>
        <v>3237.2999999999997</v>
      </c>
      <c r="J298" s="14">
        <f t="shared" si="331"/>
        <v>4173.8999999999996</v>
      </c>
      <c r="M298" s="54"/>
      <c r="N298" s="56"/>
      <c r="V298" s="74">
        <v>30</v>
      </c>
      <c r="W298" s="74" t="s">
        <v>46</v>
      </c>
      <c r="X298" s="13">
        <v>39</v>
      </c>
      <c r="Y298" s="13">
        <v>134.80000000000001</v>
      </c>
      <c r="Z298" s="13">
        <f t="shared" si="337"/>
        <v>173.8</v>
      </c>
      <c r="AB298" s="74">
        <v>30</v>
      </c>
      <c r="AC298" s="74" t="s">
        <v>46</v>
      </c>
      <c r="AD298" s="13">
        <v>50.24</v>
      </c>
      <c r="AE298" s="13">
        <v>173.65</v>
      </c>
      <c r="AF298" s="13">
        <f t="shared" si="338"/>
        <v>223.89000000000001</v>
      </c>
      <c r="AH298" s="89">
        <f t="shared" si="339"/>
        <v>-0.37858280254777077</v>
      </c>
      <c r="AI298" s="89">
        <f t="shared" si="340"/>
        <v>-0.37857759861790963</v>
      </c>
      <c r="AJ298" s="89">
        <f t="shared" si="341"/>
        <v>-0.37857876635847965</v>
      </c>
    </row>
    <row r="299" spans="1:36" x14ac:dyDescent="0.3">
      <c r="A299" s="17" t="s">
        <v>593</v>
      </c>
      <c r="B299" s="44" t="s">
        <v>594</v>
      </c>
      <c r="C299" s="12">
        <f t="shared" si="334"/>
        <v>34</v>
      </c>
      <c r="D299" s="41" t="str">
        <f t="shared" si="335"/>
        <v>UN</v>
      </c>
      <c r="E299" s="41">
        <f>ROUND((X299*(1-$M$5))*(1+BDI!$C$21),2)</f>
        <v>41.11</v>
      </c>
      <c r="F299" s="41">
        <f>ROUND((Y299*(1-$N$5))*(1+BDI!$C$21),2)</f>
        <v>9.82</v>
      </c>
      <c r="G299" s="41">
        <f t="shared" si="336"/>
        <v>50.93</v>
      </c>
      <c r="H299" s="13">
        <f t="shared" si="329"/>
        <v>1397.74</v>
      </c>
      <c r="I299" s="13">
        <f t="shared" si="330"/>
        <v>333.88</v>
      </c>
      <c r="J299" s="14">
        <f t="shared" si="331"/>
        <v>1731.62</v>
      </c>
      <c r="M299" s="54"/>
      <c r="N299" s="56"/>
      <c r="V299" s="74">
        <v>34</v>
      </c>
      <c r="W299" s="74" t="s">
        <v>46</v>
      </c>
      <c r="X299" s="13">
        <v>51.36</v>
      </c>
      <c r="Y299" s="13">
        <v>12.27</v>
      </c>
      <c r="Z299" s="13">
        <f t="shared" si="337"/>
        <v>63.629999999999995</v>
      </c>
      <c r="AB299" s="74">
        <v>34</v>
      </c>
      <c r="AC299" s="74" t="s">
        <v>46</v>
      </c>
      <c r="AD299" s="13">
        <v>66.16</v>
      </c>
      <c r="AE299" s="13">
        <v>15.81</v>
      </c>
      <c r="AF299" s="13">
        <f t="shared" si="338"/>
        <v>81.97</v>
      </c>
      <c r="AH299" s="89">
        <f t="shared" si="339"/>
        <v>-0.37862756952841592</v>
      </c>
      <c r="AI299" s="89">
        <f t="shared" si="340"/>
        <v>-0.37887413029728023</v>
      </c>
      <c r="AJ299" s="89">
        <f t="shared" si="341"/>
        <v>-0.37867512504574841</v>
      </c>
    </row>
    <row r="300" spans="1:36" x14ac:dyDescent="0.3">
      <c r="A300" s="17" t="s">
        <v>595</v>
      </c>
      <c r="B300" s="44" t="s">
        <v>596</v>
      </c>
      <c r="C300" s="12">
        <f t="shared" si="334"/>
        <v>287</v>
      </c>
      <c r="D300" s="41" t="str">
        <f t="shared" si="335"/>
        <v>UN</v>
      </c>
      <c r="E300" s="41">
        <f>ROUND((X300*(1-$M$5))*(1+BDI!$C$21),2)</f>
        <v>31.84</v>
      </c>
      <c r="F300" s="41">
        <f>ROUND((Y300*(1-$N$5))*(1+BDI!$C$21),2)</f>
        <v>53.95</v>
      </c>
      <c r="G300" s="41">
        <f t="shared" si="336"/>
        <v>85.79</v>
      </c>
      <c r="H300" s="13">
        <f t="shared" si="329"/>
        <v>9138.08</v>
      </c>
      <c r="I300" s="13">
        <f t="shared" si="330"/>
        <v>15483.650000000001</v>
      </c>
      <c r="J300" s="14">
        <f t="shared" si="331"/>
        <v>24621.730000000003</v>
      </c>
      <c r="M300" s="54"/>
      <c r="N300" s="56"/>
      <c r="V300" s="74">
        <v>287</v>
      </c>
      <c r="W300" s="74" t="s">
        <v>46</v>
      </c>
      <c r="X300" s="13">
        <v>39.770000000000003</v>
      </c>
      <c r="Y300" s="13">
        <v>67.400000000000006</v>
      </c>
      <c r="Z300" s="13">
        <f t="shared" si="337"/>
        <v>107.17000000000002</v>
      </c>
      <c r="AB300" s="74">
        <v>287</v>
      </c>
      <c r="AC300" s="74" t="s">
        <v>46</v>
      </c>
      <c r="AD300" s="13">
        <v>51.23</v>
      </c>
      <c r="AE300" s="13">
        <v>86.82</v>
      </c>
      <c r="AF300" s="13">
        <f t="shared" si="338"/>
        <v>138.04999999999998</v>
      </c>
      <c r="AH300" s="89">
        <f t="shared" si="339"/>
        <v>-0.37848916650400155</v>
      </c>
      <c r="AI300" s="89">
        <f t="shared" si="340"/>
        <v>-0.37859940105966361</v>
      </c>
      <c r="AJ300" s="89">
        <f t="shared" si="341"/>
        <v>-0.37855849329952906</v>
      </c>
    </row>
    <row r="301" spans="1:36" x14ac:dyDescent="0.3">
      <c r="A301" s="17" t="s">
        <v>597</v>
      </c>
      <c r="B301" s="44" t="s">
        <v>598</v>
      </c>
      <c r="C301" s="12">
        <f t="shared" si="334"/>
        <v>5</v>
      </c>
      <c r="D301" s="41" t="str">
        <f t="shared" si="335"/>
        <v>UN</v>
      </c>
      <c r="E301" s="41">
        <f>ROUND((X301*(1-$M$5))*(1+BDI!$C$21),2)</f>
        <v>945.17</v>
      </c>
      <c r="F301" s="41">
        <f>ROUND((Y301*(1-$N$5))*(1+BDI!$C$21),2)</f>
        <v>21.58</v>
      </c>
      <c r="G301" s="41">
        <f t="shared" si="336"/>
        <v>966.75</v>
      </c>
      <c r="H301" s="13">
        <f t="shared" si="329"/>
        <v>4725.8499999999995</v>
      </c>
      <c r="I301" s="13">
        <f t="shared" si="330"/>
        <v>107.89999999999999</v>
      </c>
      <c r="J301" s="14">
        <f t="shared" si="331"/>
        <v>4833.75</v>
      </c>
      <c r="M301" s="54"/>
      <c r="N301" s="56"/>
      <c r="V301" s="74">
        <v>5</v>
      </c>
      <c r="W301" s="74" t="s">
        <v>46</v>
      </c>
      <c r="X301" s="13">
        <v>1180.74</v>
      </c>
      <c r="Y301" s="13">
        <v>26.96</v>
      </c>
      <c r="Z301" s="13">
        <f t="shared" si="337"/>
        <v>1207.7</v>
      </c>
      <c r="AB301" s="74">
        <v>5</v>
      </c>
      <c r="AC301" s="74" t="s">
        <v>46</v>
      </c>
      <c r="AD301" s="13">
        <v>1521.03</v>
      </c>
      <c r="AE301" s="13">
        <v>34.729999999999997</v>
      </c>
      <c r="AF301" s="13">
        <f t="shared" si="338"/>
        <v>1555.76</v>
      </c>
      <c r="AH301" s="89">
        <f t="shared" si="339"/>
        <v>-0.37859871271441059</v>
      </c>
      <c r="AI301" s="89">
        <f t="shared" si="340"/>
        <v>-0.37863518571839905</v>
      </c>
      <c r="AJ301" s="89">
        <f t="shared" si="341"/>
        <v>-0.3785995269193192</v>
      </c>
    </row>
    <row r="302" spans="1:36" x14ac:dyDescent="0.3">
      <c r="A302" s="17" t="s">
        <v>599</v>
      </c>
      <c r="B302" s="44" t="s">
        <v>600</v>
      </c>
      <c r="C302" s="12">
        <f t="shared" si="334"/>
        <v>7</v>
      </c>
      <c r="D302" s="41" t="str">
        <f t="shared" si="335"/>
        <v>UN</v>
      </c>
      <c r="E302" s="41">
        <f>ROUND((X302*(1-$M$5))*(1+BDI!$C$21),2)</f>
        <v>410.88</v>
      </c>
      <c r="F302" s="41">
        <f>ROUND((Y302*(1-$N$5))*(1+BDI!$C$21),2)</f>
        <v>21.58</v>
      </c>
      <c r="G302" s="41">
        <f t="shared" si="336"/>
        <v>432.46</v>
      </c>
      <c r="H302" s="13">
        <f t="shared" si="329"/>
        <v>2876.16</v>
      </c>
      <c r="I302" s="13">
        <f t="shared" si="330"/>
        <v>151.06</v>
      </c>
      <c r="J302" s="14">
        <f t="shared" si="331"/>
        <v>3027.22</v>
      </c>
      <c r="M302" s="54"/>
      <c r="N302" s="56"/>
      <c r="V302" s="74">
        <v>7</v>
      </c>
      <c r="W302" s="74" t="s">
        <v>46</v>
      </c>
      <c r="X302" s="13">
        <v>513.29</v>
      </c>
      <c r="Y302" s="13">
        <v>26.96</v>
      </c>
      <c r="Z302" s="13">
        <f t="shared" si="337"/>
        <v>540.25</v>
      </c>
      <c r="AB302" s="74">
        <v>7</v>
      </c>
      <c r="AC302" s="74" t="s">
        <v>46</v>
      </c>
      <c r="AD302" s="13">
        <v>661.22</v>
      </c>
      <c r="AE302" s="13">
        <v>34.729999999999997</v>
      </c>
      <c r="AF302" s="13">
        <f t="shared" si="338"/>
        <v>695.95</v>
      </c>
      <c r="AH302" s="89">
        <f t="shared" si="339"/>
        <v>-0.37860318804633863</v>
      </c>
      <c r="AI302" s="89">
        <f t="shared" si="340"/>
        <v>-0.37863518571839905</v>
      </c>
      <c r="AJ302" s="89">
        <f t="shared" si="341"/>
        <v>-0.37860478482649618</v>
      </c>
    </row>
    <row r="303" spans="1:36" x14ac:dyDescent="0.3">
      <c r="A303" s="17" t="s">
        <v>601</v>
      </c>
      <c r="B303" s="44" t="s">
        <v>602</v>
      </c>
      <c r="C303" s="12">
        <f t="shared" si="334"/>
        <v>19</v>
      </c>
      <c r="D303" s="41" t="str">
        <f t="shared" si="335"/>
        <v>UN</v>
      </c>
      <c r="E303" s="41">
        <f>ROUND((X303*(1-$M$5))*(1+BDI!$C$21),2)</f>
        <v>82.52</v>
      </c>
      <c r="F303" s="41">
        <f>ROUND((Y303*(1-$N$5))*(1+BDI!$C$21),2)</f>
        <v>21.58</v>
      </c>
      <c r="G303" s="41">
        <f t="shared" si="336"/>
        <v>104.1</v>
      </c>
      <c r="H303" s="13">
        <f t="shared" si="329"/>
        <v>1567.8799999999999</v>
      </c>
      <c r="I303" s="13">
        <f t="shared" si="330"/>
        <v>410.02</v>
      </c>
      <c r="J303" s="14">
        <f t="shared" si="331"/>
        <v>1977.8999999999999</v>
      </c>
      <c r="M303" s="54"/>
      <c r="N303" s="56"/>
      <c r="V303" s="74">
        <v>19</v>
      </c>
      <c r="W303" s="74" t="s">
        <v>46</v>
      </c>
      <c r="X303" s="13">
        <v>103.09</v>
      </c>
      <c r="Y303" s="13">
        <v>26.96</v>
      </c>
      <c r="Z303" s="13">
        <f t="shared" si="337"/>
        <v>130.05000000000001</v>
      </c>
      <c r="AB303" s="74">
        <v>19</v>
      </c>
      <c r="AC303" s="74" t="s">
        <v>46</v>
      </c>
      <c r="AD303" s="13">
        <v>132.80000000000001</v>
      </c>
      <c r="AE303" s="13">
        <v>34.729999999999997</v>
      </c>
      <c r="AF303" s="13">
        <f t="shared" si="338"/>
        <v>167.53</v>
      </c>
      <c r="AH303" s="89">
        <f t="shared" si="339"/>
        <v>-0.37861445783132541</v>
      </c>
      <c r="AI303" s="89">
        <f t="shared" si="340"/>
        <v>-0.37863518571839905</v>
      </c>
      <c r="AJ303" s="89">
        <f t="shared" si="341"/>
        <v>-0.37861875484987773</v>
      </c>
    </row>
    <row r="304" spans="1:36" x14ac:dyDescent="0.3">
      <c r="A304" s="17" t="s">
        <v>603</v>
      </c>
      <c r="B304" s="44" t="s">
        <v>604</v>
      </c>
      <c r="C304" s="12">
        <f t="shared" si="334"/>
        <v>9</v>
      </c>
      <c r="D304" s="41" t="str">
        <f t="shared" si="335"/>
        <v>UN</v>
      </c>
      <c r="E304" s="41">
        <f>ROUND((X304*(1-$M$5))*(1+BDI!$C$21),2)</f>
        <v>52.11</v>
      </c>
      <c r="F304" s="41">
        <f>ROUND((Y304*(1-$N$5))*(1+BDI!$C$21),2)</f>
        <v>30.64</v>
      </c>
      <c r="G304" s="41">
        <f t="shared" si="336"/>
        <v>82.75</v>
      </c>
      <c r="H304" s="13">
        <f t="shared" si="329"/>
        <v>468.99</v>
      </c>
      <c r="I304" s="13">
        <f t="shared" si="330"/>
        <v>275.76</v>
      </c>
      <c r="J304" s="14">
        <f t="shared" si="331"/>
        <v>744.75</v>
      </c>
      <c r="M304" s="54"/>
      <c r="N304" s="56"/>
      <c r="V304" s="74">
        <v>9</v>
      </c>
      <c r="W304" s="74" t="s">
        <v>46</v>
      </c>
      <c r="X304" s="13">
        <v>65.099999999999994</v>
      </c>
      <c r="Y304" s="13">
        <v>38.28</v>
      </c>
      <c r="Z304" s="13">
        <f t="shared" si="337"/>
        <v>103.38</v>
      </c>
      <c r="AB304" s="74">
        <v>9</v>
      </c>
      <c r="AC304" s="74" t="s">
        <v>46</v>
      </c>
      <c r="AD304" s="13">
        <v>83.86</v>
      </c>
      <c r="AE304" s="13">
        <v>49.31</v>
      </c>
      <c r="AF304" s="13">
        <f t="shared" si="338"/>
        <v>133.17000000000002</v>
      </c>
      <c r="AH304" s="89">
        <f t="shared" si="339"/>
        <v>-0.37860720248032431</v>
      </c>
      <c r="AI304" s="89">
        <f t="shared" si="340"/>
        <v>-0.37862502534982767</v>
      </c>
      <c r="AJ304" s="89">
        <f t="shared" si="341"/>
        <v>-0.37861380190733651</v>
      </c>
    </row>
    <row r="305" spans="1:36" x14ac:dyDescent="0.3">
      <c r="A305" s="17" t="s">
        <v>605</v>
      </c>
      <c r="B305" s="44" t="s">
        <v>606</v>
      </c>
      <c r="C305" s="12">
        <f t="shared" si="334"/>
        <v>25</v>
      </c>
      <c r="D305" s="41" t="str">
        <f t="shared" si="335"/>
        <v>UN</v>
      </c>
      <c r="E305" s="41">
        <f>ROUND((X305*(1-$M$5))*(1+BDI!$C$21),2)</f>
        <v>41.23</v>
      </c>
      <c r="F305" s="41">
        <f>ROUND((Y305*(1-$N$5))*(1+BDI!$C$21),2)</f>
        <v>20.399999999999999</v>
      </c>
      <c r="G305" s="41">
        <f t="shared" si="336"/>
        <v>61.629999999999995</v>
      </c>
      <c r="H305" s="13">
        <f t="shared" si="329"/>
        <v>1030.75</v>
      </c>
      <c r="I305" s="13">
        <f t="shared" si="330"/>
        <v>509.99999999999994</v>
      </c>
      <c r="J305" s="14">
        <f t="shared" si="331"/>
        <v>1540.75</v>
      </c>
      <c r="M305" s="54"/>
      <c r="N305" s="56"/>
      <c r="V305" s="74">
        <v>25</v>
      </c>
      <c r="W305" s="74" t="s">
        <v>46</v>
      </c>
      <c r="X305" s="13">
        <v>51.5</v>
      </c>
      <c r="Y305" s="13">
        <v>25.48</v>
      </c>
      <c r="Z305" s="13">
        <f t="shared" si="337"/>
        <v>76.98</v>
      </c>
      <c r="AB305" s="74">
        <v>25</v>
      </c>
      <c r="AC305" s="74" t="s">
        <v>46</v>
      </c>
      <c r="AD305" s="13">
        <v>66.34</v>
      </c>
      <c r="AE305" s="13">
        <v>32.82</v>
      </c>
      <c r="AF305" s="13">
        <f t="shared" si="338"/>
        <v>99.16</v>
      </c>
      <c r="AH305" s="89">
        <f t="shared" si="339"/>
        <v>-0.37850467289719636</v>
      </c>
      <c r="AI305" s="89">
        <f t="shared" si="340"/>
        <v>-0.37842778793418652</v>
      </c>
      <c r="AJ305" s="89">
        <f t="shared" si="341"/>
        <v>-0.37847922549415092</v>
      </c>
    </row>
    <row r="306" spans="1:36" x14ac:dyDescent="0.3">
      <c r="A306" s="17" t="s">
        <v>607</v>
      </c>
      <c r="B306" s="44" t="s">
        <v>608</v>
      </c>
      <c r="C306" s="12">
        <f t="shared" si="334"/>
        <v>13</v>
      </c>
      <c r="D306" s="41" t="str">
        <f t="shared" si="335"/>
        <v>UN</v>
      </c>
      <c r="E306" s="41">
        <f>ROUND((X306*(1-$M$5))*(1+BDI!$C$21),2)</f>
        <v>11.59</v>
      </c>
      <c r="F306" s="41">
        <f>ROUND((Y306*(1-$N$5))*(1+BDI!$C$21),2)</f>
        <v>10.199999999999999</v>
      </c>
      <c r="G306" s="41">
        <f t="shared" si="336"/>
        <v>21.79</v>
      </c>
      <c r="H306" s="13">
        <f t="shared" si="329"/>
        <v>150.66999999999999</v>
      </c>
      <c r="I306" s="13">
        <f t="shared" si="330"/>
        <v>132.6</v>
      </c>
      <c r="J306" s="14">
        <f t="shared" si="331"/>
        <v>283.27</v>
      </c>
      <c r="M306" s="54"/>
      <c r="N306" s="56"/>
      <c r="V306" s="74">
        <v>13</v>
      </c>
      <c r="W306" s="74" t="s">
        <v>46</v>
      </c>
      <c r="X306" s="13">
        <v>14.48</v>
      </c>
      <c r="Y306" s="13">
        <v>12.74</v>
      </c>
      <c r="Z306" s="13">
        <f t="shared" si="337"/>
        <v>27.22</v>
      </c>
      <c r="AB306" s="74">
        <v>13</v>
      </c>
      <c r="AC306" s="74" t="s">
        <v>46</v>
      </c>
      <c r="AD306" s="13">
        <v>18.649999999999999</v>
      </c>
      <c r="AE306" s="13">
        <v>16.41</v>
      </c>
      <c r="AF306" s="13">
        <f t="shared" si="338"/>
        <v>35.06</v>
      </c>
      <c r="AH306" s="89">
        <f t="shared" si="339"/>
        <v>-0.37855227882037534</v>
      </c>
      <c r="AI306" s="89">
        <f t="shared" si="340"/>
        <v>-0.37842778793418652</v>
      </c>
      <c r="AJ306" s="89">
        <f t="shared" si="341"/>
        <v>-0.37849401026811191</v>
      </c>
    </row>
    <row r="307" spans="1:36" x14ac:dyDescent="0.3">
      <c r="A307" s="17" t="s">
        <v>609</v>
      </c>
      <c r="B307" s="44" t="s">
        <v>610</v>
      </c>
      <c r="C307" s="12">
        <f t="shared" si="334"/>
        <v>1</v>
      </c>
      <c r="D307" s="41" t="str">
        <f t="shared" si="335"/>
        <v>UN</v>
      </c>
      <c r="E307" s="41">
        <f>ROUND((X307*(1-$M$5))*(1+BDI!$C$21),2)</f>
        <v>54.12</v>
      </c>
      <c r="F307" s="41">
        <f>ROUND((Y307*(1-$N$5))*(1+BDI!$C$21),2)</f>
        <v>10.199999999999999</v>
      </c>
      <c r="G307" s="41">
        <f t="shared" si="336"/>
        <v>64.319999999999993</v>
      </c>
      <c r="H307" s="13">
        <f t="shared" si="329"/>
        <v>54.12</v>
      </c>
      <c r="I307" s="13">
        <f t="shared" si="330"/>
        <v>10.199999999999999</v>
      </c>
      <c r="J307" s="14">
        <f t="shared" si="331"/>
        <v>64.319999999999993</v>
      </c>
      <c r="M307" s="54"/>
      <c r="N307" s="56"/>
      <c r="V307" s="74">
        <v>1</v>
      </c>
      <c r="W307" s="74" t="s">
        <v>46</v>
      </c>
      <c r="X307" s="13">
        <v>67.61</v>
      </c>
      <c r="Y307" s="13">
        <v>12.74</v>
      </c>
      <c r="Z307" s="13">
        <f t="shared" si="337"/>
        <v>80.349999999999994</v>
      </c>
      <c r="AB307" s="74">
        <v>1</v>
      </c>
      <c r="AC307" s="74" t="s">
        <v>46</v>
      </c>
      <c r="AD307" s="13">
        <v>87.1</v>
      </c>
      <c r="AE307" s="13">
        <v>16.41</v>
      </c>
      <c r="AF307" s="13">
        <f t="shared" si="338"/>
        <v>103.50999999999999</v>
      </c>
      <c r="AH307" s="89">
        <f t="shared" si="339"/>
        <v>-0.37864523536165329</v>
      </c>
      <c r="AI307" s="89">
        <f t="shared" si="340"/>
        <v>-0.37842778793418652</v>
      </c>
      <c r="AJ307" s="89">
        <f t="shared" si="341"/>
        <v>-0.37861076224519374</v>
      </c>
    </row>
    <row r="308" spans="1:36" x14ac:dyDescent="0.3">
      <c r="A308" s="17" t="s">
        <v>611</v>
      </c>
      <c r="B308" s="44" t="s">
        <v>612</v>
      </c>
      <c r="C308" s="12">
        <f t="shared" si="334"/>
        <v>4</v>
      </c>
      <c r="D308" s="41" t="str">
        <f t="shared" si="335"/>
        <v>UN</v>
      </c>
      <c r="E308" s="41">
        <f>ROUND((X308*(1-$M$5))*(1+BDI!$C$21),2)</f>
        <v>136.36000000000001</v>
      </c>
      <c r="F308" s="41">
        <f>ROUND((Y308*(1-$N$5))*(1+BDI!$C$21),2)</f>
        <v>10.199999999999999</v>
      </c>
      <c r="G308" s="41">
        <f t="shared" si="336"/>
        <v>146.56</v>
      </c>
      <c r="H308" s="13">
        <f t="shared" si="329"/>
        <v>545.44000000000005</v>
      </c>
      <c r="I308" s="13">
        <f t="shared" si="330"/>
        <v>40.799999999999997</v>
      </c>
      <c r="J308" s="14">
        <f t="shared" si="331"/>
        <v>586.24</v>
      </c>
      <c r="M308" s="54"/>
      <c r="N308" s="56"/>
      <c r="V308" s="74">
        <v>4</v>
      </c>
      <c r="W308" s="74" t="s">
        <v>46</v>
      </c>
      <c r="X308" s="13">
        <v>170.34</v>
      </c>
      <c r="Y308" s="13">
        <v>12.74</v>
      </c>
      <c r="Z308" s="13">
        <f t="shared" si="337"/>
        <v>183.08</v>
      </c>
      <c r="AB308" s="74">
        <v>4</v>
      </c>
      <c r="AC308" s="74" t="s">
        <v>46</v>
      </c>
      <c r="AD308" s="13">
        <v>219.43</v>
      </c>
      <c r="AE308" s="13">
        <v>16.41</v>
      </c>
      <c r="AF308" s="13">
        <f t="shared" si="338"/>
        <v>235.84</v>
      </c>
      <c r="AH308" s="89">
        <f t="shared" si="339"/>
        <v>-0.37857175409014265</v>
      </c>
      <c r="AI308" s="89">
        <f t="shared" si="340"/>
        <v>-0.37842778793418652</v>
      </c>
      <c r="AJ308" s="89">
        <f t="shared" si="341"/>
        <v>-0.37856173677069205</v>
      </c>
    </row>
    <row r="309" spans="1:36" x14ac:dyDescent="0.3">
      <c r="A309" s="17" t="s">
        <v>613</v>
      </c>
      <c r="B309" s="44" t="s">
        <v>614</v>
      </c>
      <c r="C309" s="12">
        <f t="shared" si="334"/>
        <v>3</v>
      </c>
      <c r="D309" s="41" t="str">
        <f t="shared" si="335"/>
        <v>UN</v>
      </c>
      <c r="E309" s="41">
        <f>ROUND((X309*(1-$M$5))*(1+BDI!$C$21),2)</f>
        <v>136.36000000000001</v>
      </c>
      <c r="F309" s="41">
        <f>ROUND((Y309*(1-$N$5))*(1+BDI!$C$21),2)</f>
        <v>10.199999999999999</v>
      </c>
      <c r="G309" s="41">
        <f t="shared" si="336"/>
        <v>146.56</v>
      </c>
      <c r="H309" s="13">
        <f t="shared" si="329"/>
        <v>409.08000000000004</v>
      </c>
      <c r="I309" s="13">
        <f t="shared" si="330"/>
        <v>30.599999999999998</v>
      </c>
      <c r="J309" s="14">
        <f t="shared" si="331"/>
        <v>439.68</v>
      </c>
      <c r="M309" s="54"/>
      <c r="N309" s="56"/>
      <c r="V309" s="74">
        <v>3</v>
      </c>
      <c r="W309" s="74" t="s">
        <v>46</v>
      </c>
      <c r="X309" s="13">
        <v>170.34</v>
      </c>
      <c r="Y309" s="13">
        <v>12.74</v>
      </c>
      <c r="Z309" s="13">
        <f t="shared" si="337"/>
        <v>183.08</v>
      </c>
      <c r="AB309" s="74">
        <v>3</v>
      </c>
      <c r="AC309" s="74" t="s">
        <v>46</v>
      </c>
      <c r="AD309" s="13">
        <v>219.43</v>
      </c>
      <c r="AE309" s="13">
        <v>16.41</v>
      </c>
      <c r="AF309" s="13">
        <f t="shared" si="338"/>
        <v>235.84</v>
      </c>
      <c r="AH309" s="89">
        <f t="shared" si="339"/>
        <v>-0.37857175409014265</v>
      </c>
      <c r="AI309" s="89">
        <f t="shared" si="340"/>
        <v>-0.37842778793418652</v>
      </c>
      <c r="AJ309" s="89">
        <f t="shared" si="341"/>
        <v>-0.37856173677069205</v>
      </c>
    </row>
    <row r="310" spans="1:36" x14ac:dyDescent="0.3">
      <c r="A310" s="17" t="s">
        <v>615</v>
      </c>
      <c r="B310" s="44" t="s">
        <v>616</v>
      </c>
      <c r="C310" s="12">
        <f t="shared" si="334"/>
        <v>1</v>
      </c>
      <c r="D310" s="41" t="str">
        <f t="shared" si="335"/>
        <v>UN</v>
      </c>
      <c r="E310" s="41">
        <f>ROUND((X310*(1-$M$5))*(1+BDI!$C$21),2)</f>
        <v>116.1</v>
      </c>
      <c r="F310" s="41">
        <f>ROUND((Y310*(1-$N$5))*(1+BDI!$C$21),2)</f>
        <v>20.399999999999999</v>
      </c>
      <c r="G310" s="41">
        <f t="shared" si="336"/>
        <v>136.5</v>
      </c>
      <c r="H310" s="13">
        <f t="shared" si="329"/>
        <v>116.1</v>
      </c>
      <c r="I310" s="13">
        <f t="shared" si="330"/>
        <v>20.399999999999999</v>
      </c>
      <c r="J310" s="14">
        <f t="shared" si="331"/>
        <v>136.5</v>
      </c>
      <c r="M310" s="54"/>
      <c r="N310" s="56"/>
      <c r="V310" s="74">
        <v>1</v>
      </c>
      <c r="W310" s="74" t="s">
        <v>46</v>
      </c>
      <c r="X310" s="13">
        <v>145.04</v>
      </c>
      <c r="Y310" s="13">
        <v>25.48</v>
      </c>
      <c r="Z310" s="13">
        <f t="shared" si="337"/>
        <v>170.51999999999998</v>
      </c>
      <c r="AB310" s="74">
        <v>1</v>
      </c>
      <c r="AC310" s="74" t="s">
        <v>46</v>
      </c>
      <c r="AD310" s="13">
        <v>186.84</v>
      </c>
      <c r="AE310" s="13">
        <v>32.82</v>
      </c>
      <c r="AF310" s="13">
        <f t="shared" si="338"/>
        <v>219.66</v>
      </c>
      <c r="AH310" s="89">
        <f t="shared" si="339"/>
        <v>-0.37861271676300579</v>
      </c>
      <c r="AI310" s="89">
        <f t="shared" si="340"/>
        <v>-0.37842778793418652</v>
      </c>
      <c r="AJ310" s="89">
        <f t="shared" si="341"/>
        <v>-0.37858508604206498</v>
      </c>
    </row>
    <row r="311" spans="1:36" x14ac:dyDescent="0.3">
      <c r="A311" s="17" t="s">
        <v>617</v>
      </c>
      <c r="B311" s="44" t="s">
        <v>618</v>
      </c>
      <c r="C311" s="12">
        <f t="shared" si="334"/>
        <v>1</v>
      </c>
      <c r="D311" s="41" t="str">
        <f t="shared" si="335"/>
        <v>UN</v>
      </c>
      <c r="E311" s="41">
        <f>ROUND((X311*(1-$M$5))*(1+BDI!$C$21),2)</f>
        <v>122.99</v>
      </c>
      <c r="F311" s="41">
        <f>ROUND((Y311*(1-$N$5))*(1+BDI!$C$21),2)</f>
        <v>30.64</v>
      </c>
      <c r="G311" s="41">
        <f t="shared" si="336"/>
        <v>153.63</v>
      </c>
      <c r="H311" s="13">
        <f t="shared" si="329"/>
        <v>122.99</v>
      </c>
      <c r="I311" s="13">
        <f t="shared" si="330"/>
        <v>30.64</v>
      </c>
      <c r="J311" s="14">
        <f t="shared" si="331"/>
        <v>153.63</v>
      </c>
      <c r="M311" s="54"/>
      <c r="N311" s="56"/>
      <c r="V311" s="74">
        <v>1</v>
      </c>
      <c r="W311" s="74" t="s">
        <v>46</v>
      </c>
      <c r="X311" s="13">
        <v>153.63999999999999</v>
      </c>
      <c r="Y311" s="13">
        <v>38.28</v>
      </c>
      <c r="Z311" s="13">
        <f t="shared" si="337"/>
        <v>191.92</v>
      </c>
      <c r="AB311" s="74">
        <v>1</v>
      </c>
      <c r="AC311" s="74" t="s">
        <v>46</v>
      </c>
      <c r="AD311" s="13">
        <v>197.92</v>
      </c>
      <c r="AE311" s="13">
        <v>49.31</v>
      </c>
      <c r="AF311" s="13">
        <f t="shared" si="338"/>
        <v>247.23</v>
      </c>
      <c r="AH311" s="89">
        <f t="shared" si="339"/>
        <v>-0.37858730800323359</v>
      </c>
      <c r="AI311" s="89">
        <f t="shared" si="340"/>
        <v>-0.37862502534982767</v>
      </c>
      <c r="AJ311" s="89">
        <f t="shared" si="341"/>
        <v>-0.37859483072442668</v>
      </c>
    </row>
    <row r="312" spans="1:36" x14ac:dyDescent="0.3">
      <c r="A312" s="17" t="s">
        <v>619</v>
      </c>
      <c r="B312" s="44" t="s">
        <v>620</v>
      </c>
      <c r="C312" s="12">
        <f t="shared" si="334"/>
        <v>1</v>
      </c>
      <c r="D312" s="41" t="str">
        <f t="shared" si="335"/>
        <v>UN</v>
      </c>
      <c r="E312" s="41">
        <f>ROUND((X312*(1-$M$5))*(1+BDI!$C$21),2)</f>
        <v>133.74</v>
      </c>
      <c r="F312" s="41">
        <f>ROUND((Y312*(1-$N$5))*(1+BDI!$C$21),2)</f>
        <v>30.64</v>
      </c>
      <c r="G312" s="41">
        <f t="shared" si="336"/>
        <v>164.38</v>
      </c>
      <c r="H312" s="13">
        <f t="shared" ref="H312:H378" si="342">C312*E312</f>
        <v>133.74</v>
      </c>
      <c r="I312" s="13">
        <f t="shared" ref="I312:I378" si="343">C312*F312</f>
        <v>30.64</v>
      </c>
      <c r="J312" s="14">
        <f t="shared" ref="J312:J381" si="344">SUM(E312:F312)*C312</f>
        <v>164.38</v>
      </c>
      <c r="M312" s="54"/>
      <c r="N312" s="56"/>
      <c r="V312" s="74">
        <v>1</v>
      </c>
      <c r="W312" s="74" t="s">
        <v>46</v>
      </c>
      <c r="X312" s="13">
        <v>167.07</v>
      </c>
      <c r="Y312" s="13">
        <v>38.28</v>
      </c>
      <c r="Z312" s="13">
        <f t="shared" ref="Z312:Z343" si="345">SUM(X312:Y312)</f>
        <v>205.35</v>
      </c>
      <c r="AB312" s="74">
        <v>1</v>
      </c>
      <c r="AC312" s="74" t="s">
        <v>46</v>
      </c>
      <c r="AD312" s="13">
        <v>215.22</v>
      </c>
      <c r="AE312" s="13">
        <v>49.31</v>
      </c>
      <c r="AF312" s="13">
        <f t="shared" ref="AF312:AF343" si="346">SUM(AD312:AE312)</f>
        <v>264.52999999999997</v>
      </c>
      <c r="AH312" s="89">
        <f t="shared" si="339"/>
        <v>-0.37858935043211595</v>
      </c>
      <c r="AI312" s="89">
        <f t="shared" si="340"/>
        <v>-0.37862502534982767</v>
      </c>
      <c r="AJ312" s="89">
        <f t="shared" si="341"/>
        <v>-0.37859600045363473</v>
      </c>
    </row>
    <row r="313" spans="1:36" x14ac:dyDescent="0.3">
      <c r="A313" s="17" t="s">
        <v>621</v>
      </c>
      <c r="B313" s="44" t="s">
        <v>1039</v>
      </c>
      <c r="C313" s="12">
        <f t="shared" si="334"/>
        <v>13</v>
      </c>
      <c r="D313" s="41" t="str">
        <f t="shared" si="335"/>
        <v>UN</v>
      </c>
      <c r="E313" s="41">
        <f>ROUND((X313*(1-$M$5))*(1+BDI!$C$21),2)</f>
        <v>168.64</v>
      </c>
      <c r="F313" s="41">
        <f>ROUND((Y313*(1-$N$5))*(1+BDI!$C$21),2)</f>
        <v>179.27</v>
      </c>
      <c r="G313" s="41">
        <f t="shared" si="336"/>
        <v>347.90999999999997</v>
      </c>
      <c r="H313" s="13">
        <f t="shared" si="342"/>
        <v>2192.3199999999997</v>
      </c>
      <c r="I313" s="13">
        <f t="shared" si="343"/>
        <v>2330.5100000000002</v>
      </c>
      <c r="J313" s="14">
        <f t="shared" si="344"/>
        <v>4522.83</v>
      </c>
      <c r="M313" s="54"/>
      <c r="N313" s="56"/>
      <c r="V313" s="74">
        <v>13</v>
      </c>
      <c r="W313" s="74" t="s">
        <v>46</v>
      </c>
      <c r="X313" s="13">
        <v>210.67</v>
      </c>
      <c r="Y313" s="13">
        <v>223.95</v>
      </c>
      <c r="Z313" s="13">
        <f t="shared" si="345"/>
        <v>434.62</v>
      </c>
      <c r="AB313" s="74">
        <v>13</v>
      </c>
      <c r="AC313" s="74" t="s">
        <v>46</v>
      </c>
      <c r="AD313" s="13">
        <v>271.39</v>
      </c>
      <c r="AE313" s="13">
        <v>288.49</v>
      </c>
      <c r="AF313" s="13">
        <f t="shared" si="346"/>
        <v>559.88</v>
      </c>
      <c r="AH313" s="89">
        <f t="shared" si="339"/>
        <v>-0.37860643354581969</v>
      </c>
      <c r="AI313" s="89">
        <f t="shared" si="340"/>
        <v>-0.37859197892474605</v>
      </c>
      <c r="AJ313" s="89">
        <f t="shared" si="341"/>
        <v>-0.37859898549689219</v>
      </c>
    </row>
    <row r="314" spans="1:36" x14ac:dyDescent="0.3">
      <c r="A314" s="17" t="s">
        <v>622</v>
      </c>
      <c r="B314" s="44" t="s">
        <v>623</v>
      </c>
      <c r="C314" s="12">
        <f t="shared" ref="C314:C378" si="347">V314</f>
        <v>25</v>
      </c>
      <c r="D314" s="41" t="str">
        <f t="shared" ref="D314:D378" si="348">W314</f>
        <v>UN</v>
      </c>
      <c r="E314" s="41">
        <f>ROUND((X314*(1-$M$5))*(1+BDI!$C$21),2)</f>
        <v>466.8</v>
      </c>
      <c r="F314" s="41">
        <f>ROUND((Y314*(1-$N$5))*(1+BDI!$C$21),2)</f>
        <v>222.43</v>
      </c>
      <c r="G314" s="41">
        <f t="shared" si="336"/>
        <v>689.23</v>
      </c>
      <c r="H314" s="13">
        <f t="shared" si="342"/>
        <v>11670</v>
      </c>
      <c r="I314" s="13">
        <f t="shared" si="343"/>
        <v>5560.75</v>
      </c>
      <c r="J314" s="14">
        <f t="shared" si="344"/>
        <v>17230.75</v>
      </c>
      <c r="M314" s="54"/>
      <c r="N314" s="56"/>
      <c r="V314" s="74">
        <v>25</v>
      </c>
      <c r="W314" s="74" t="s">
        <v>46</v>
      </c>
      <c r="X314" s="13">
        <v>583.15</v>
      </c>
      <c r="Y314" s="13">
        <v>277.87</v>
      </c>
      <c r="Z314" s="13">
        <f t="shared" si="345"/>
        <v>861.02</v>
      </c>
      <c r="AB314" s="74">
        <v>25</v>
      </c>
      <c r="AC314" s="74" t="s">
        <v>46</v>
      </c>
      <c r="AD314" s="13">
        <v>751.21</v>
      </c>
      <c r="AE314" s="13">
        <v>357.95</v>
      </c>
      <c r="AF314" s="13">
        <f t="shared" si="346"/>
        <v>1109.1600000000001</v>
      </c>
      <c r="AH314" s="89">
        <f t="shared" si="339"/>
        <v>-0.37860252126569138</v>
      </c>
      <c r="AI314" s="89">
        <f t="shared" si="340"/>
        <v>-0.37860036317921497</v>
      </c>
      <c r="AJ314" s="89">
        <f t="shared" si="341"/>
        <v>-0.37860182480435645</v>
      </c>
    </row>
    <row r="315" spans="1:36" x14ac:dyDescent="0.3">
      <c r="A315" s="17" t="s">
        <v>624</v>
      </c>
      <c r="B315" s="44" t="s">
        <v>1040</v>
      </c>
      <c r="C315" s="12">
        <f t="shared" si="347"/>
        <v>1</v>
      </c>
      <c r="D315" s="41" t="str">
        <f t="shared" si="348"/>
        <v>UN</v>
      </c>
      <c r="E315" s="41">
        <f>ROUND((X315*(1-$M$5))*(1+BDI!$C$21),2)</f>
        <v>316.67</v>
      </c>
      <c r="F315" s="41">
        <f>ROUND((Y315*(1-$N$5))*(1+BDI!$C$21),2)</f>
        <v>260.2</v>
      </c>
      <c r="G315" s="41">
        <f t="shared" si="336"/>
        <v>576.87</v>
      </c>
      <c r="H315" s="13">
        <f t="shared" si="342"/>
        <v>316.67</v>
      </c>
      <c r="I315" s="13">
        <f t="shared" si="343"/>
        <v>260.2</v>
      </c>
      <c r="J315" s="14">
        <f t="shared" si="344"/>
        <v>576.87</v>
      </c>
      <c r="M315" s="54"/>
      <c r="N315" s="56"/>
      <c r="V315" s="74">
        <v>1</v>
      </c>
      <c r="W315" s="74" t="s">
        <v>46</v>
      </c>
      <c r="X315" s="13">
        <v>395.6</v>
      </c>
      <c r="Y315" s="13">
        <v>325.05</v>
      </c>
      <c r="Z315" s="13">
        <f t="shared" si="345"/>
        <v>720.65000000000009</v>
      </c>
      <c r="AB315" s="74">
        <v>1</v>
      </c>
      <c r="AC315" s="74" t="s">
        <v>46</v>
      </c>
      <c r="AD315" s="13">
        <v>509.61</v>
      </c>
      <c r="AE315" s="13">
        <v>418.73</v>
      </c>
      <c r="AF315" s="13">
        <f t="shared" si="346"/>
        <v>928.34</v>
      </c>
      <c r="AH315" s="89">
        <f t="shared" si="339"/>
        <v>-0.378603245619199</v>
      </c>
      <c r="AI315" s="89">
        <f t="shared" si="340"/>
        <v>-0.3785971867313066</v>
      </c>
      <c r="AJ315" s="89">
        <f t="shared" si="341"/>
        <v>-0.37860051274317597</v>
      </c>
    </row>
    <row r="316" spans="1:36" x14ac:dyDescent="0.3">
      <c r="A316" s="17" t="s">
        <v>625</v>
      </c>
      <c r="B316" s="44" t="s">
        <v>626</v>
      </c>
      <c r="C316" s="12">
        <f t="shared" si="347"/>
        <v>1</v>
      </c>
      <c r="D316" s="41" t="str">
        <f t="shared" si="348"/>
        <v>UN</v>
      </c>
      <c r="E316" s="41">
        <f>ROUND((X316*(1-$M$5))*(1+BDI!$C$21),2)</f>
        <v>28.24</v>
      </c>
      <c r="F316" s="41">
        <f>ROUND((Y316*(1-$N$5))*(1+BDI!$C$21),2)</f>
        <v>20.399999999999999</v>
      </c>
      <c r="G316" s="41">
        <f t="shared" si="336"/>
        <v>48.64</v>
      </c>
      <c r="H316" s="13">
        <f t="shared" si="342"/>
        <v>28.24</v>
      </c>
      <c r="I316" s="13">
        <f t="shared" si="343"/>
        <v>20.399999999999999</v>
      </c>
      <c r="J316" s="14">
        <f t="shared" si="344"/>
        <v>48.64</v>
      </c>
      <c r="M316" s="54"/>
      <c r="N316" s="56"/>
      <c r="V316" s="74">
        <v>1</v>
      </c>
      <c r="W316" s="74" t="s">
        <v>46</v>
      </c>
      <c r="X316" s="13">
        <v>35.28</v>
      </c>
      <c r="Y316" s="13">
        <v>25.48</v>
      </c>
      <c r="Z316" s="13">
        <f t="shared" si="345"/>
        <v>60.760000000000005</v>
      </c>
      <c r="AB316" s="74">
        <v>1</v>
      </c>
      <c r="AC316" s="74" t="s">
        <v>46</v>
      </c>
      <c r="AD316" s="13">
        <v>45.45</v>
      </c>
      <c r="AE316" s="13">
        <v>32.82</v>
      </c>
      <c r="AF316" s="13">
        <f t="shared" si="346"/>
        <v>78.27000000000001</v>
      </c>
      <c r="AH316" s="89">
        <f t="shared" si="339"/>
        <v>-0.37865786578657878</v>
      </c>
      <c r="AI316" s="89">
        <f t="shared" si="340"/>
        <v>-0.37842778793418652</v>
      </c>
      <c r="AJ316" s="89">
        <f t="shared" si="341"/>
        <v>-0.37856139006004863</v>
      </c>
    </row>
    <row r="317" spans="1:36" x14ac:dyDescent="0.3">
      <c r="A317" s="17" t="s">
        <v>627</v>
      </c>
      <c r="B317" s="44" t="s">
        <v>628</v>
      </c>
      <c r="C317" s="12">
        <f t="shared" si="347"/>
        <v>6</v>
      </c>
      <c r="D317" s="41" t="str">
        <f t="shared" si="348"/>
        <v>UN</v>
      </c>
      <c r="E317" s="41">
        <f>ROUND((X317*(1-$M$5))*(1+BDI!$C$21),2)</f>
        <v>47.07</v>
      </c>
      <c r="F317" s="41">
        <f>ROUND((Y317*(1-$N$5))*(1+BDI!$C$21),2)</f>
        <v>30.64</v>
      </c>
      <c r="G317" s="41">
        <f t="shared" si="336"/>
        <v>77.710000000000008</v>
      </c>
      <c r="H317" s="13">
        <f t="shared" si="342"/>
        <v>282.42</v>
      </c>
      <c r="I317" s="13">
        <f t="shared" si="343"/>
        <v>183.84</v>
      </c>
      <c r="J317" s="14">
        <f t="shared" si="344"/>
        <v>466.26000000000005</v>
      </c>
      <c r="M317" s="54"/>
      <c r="N317" s="56"/>
      <c r="V317" s="74">
        <v>6</v>
      </c>
      <c r="W317" s="74" t="s">
        <v>46</v>
      </c>
      <c r="X317" s="13">
        <v>58.8</v>
      </c>
      <c r="Y317" s="13">
        <v>38.28</v>
      </c>
      <c r="Z317" s="13">
        <f t="shared" si="345"/>
        <v>97.08</v>
      </c>
      <c r="AB317" s="74">
        <v>6</v>
      </c>
      <c r="AC317" s="74" t="s">
        <v>46</v>
      </c>
      <c r="AD317" s="13">
        <v>75.75</v>
      </c>
      <c r="AE317" s="13">
        <v>49.31</v>
      </c>
      <c r="AF317" s="13">
        <f t="shared" si="346"/>
        <v>125.06</v>
      </c>
      <c r="AH317" s="89">
        <f t="shared" si="339"/>
        <v>-0.37861386138613862</v>
      </c>
      <c r="AI317" s="89">
        <f t="shared" si="340"/>
        <v>-0.37862502534982767</v>
      </c>
      <c r="AJ317" s="89">
        <f t="shared" si="341"/>
        <v>-0.37861826323364778</v>
      </c>
    </row>
    <row r="318" spans="1:36" x14ac:dyDescent="0.3">
      <c r="A318" s="17" t="s">
        <v>629</v>
      </c>
      <c r="B318" s="44" t="s">
        <v>630</v>
      </c>
      <c r="C318" s="12">
        <f t="shared" si="347"/>
        <v>8</v>
      </c>
      <c r="D318" s="41" t="str">
        <f t="shared" si="348"/>
        <v>UN</v>
      </c>
      <c r="E318" s="41">
        <f>ROUND((X318*(1-$M$5))*(1+BDI!$C$21),2)</f>
        <v>44.14</v>
      </c>
      <c r="F318" s="41">
        <f>ROUND((Y318*(1-$N$5))*(1+BDI!$C$21),2)</f>
        <v>21.81</v>
      </c>
      <c r="G318" s="41">
        <f t="shared" si="336"/>
        <v>65.95</v>
      </c>
      <c r="H318" s="13">
        <f t="shared" si="342"/>
        <v>353.12</v>
      </c>
      <c r="I318" s="13">
        <f t="shared" si="343"/>
        <v>174.48</v>
      </c>
      <c r="J318" s="14">
        <f t="shared" si="344"/>
        <v>527.6</v>
      </c>
      <c r="M318" s="54"/>
      <c r="N318" s="56"/>
      <c r="V318" s="74">
        <v>8</v>
      </c>
      <c r="W318" s="74" t="s">
        <v>46</v>
      </c>
      <c r="X318" s="13">
        <v>55.14</v>
      </c>
      <c r="Y318" s="13">
        <v>27.24</v>
      </c>
      <c r="Z318" s="13">
        <f t="shared" si="345"/>
        <v>82.38</v>
      </c>
      <c r="AB318" s="74">
        <v>8</v>
      </c>
      <c r="AC318" s="74" t="s">
        <v>46</v>
      </c>
      <c r="AD318" s="13">
        <v>71.03</v>
      </c>
      <c r="AE318" s="13">
        <v>35.090000000000003</v>
      </c>
      <c r="AF318" s="13">
        <f t="shared" si="346"/>
        <v>106.12</v>
      </c>
      <c r="AH318" s="89">
        <f t="shared" si="339"/>
        <v>-0.37857243418273967</v>
      </c>
      <c r="AI318" s="89">
        <f t="shared" si="340"/>
        <v>-0.37845540039897418</v>
      </c>
      <c r="AJ318" s="89">
        <f t="shared" si="341"/>
        <v>-0.37853373539389368</v>
      </c>
    </row>
    <row r="319" spans="1:36" x14ac:dyDescent="0.3">
      <c r="A319" s="17" t="s">
        <v>631</v>
      </c>
      <c r="B319" s="44" t="s">
        <v>1041</v>
      </c>
      <c r="C319" s="12">
        <f t="shared" si="347"/>
        <v>214</v>
      </c>
      <c r="D319" s="41" t="str">
        <f t="shared" si="348"/>
        <v>m</v>
      </c>
      <c r="E319" s="41">
        <f>ROUND((X319*(1-$M$5))*(1+BDI!$C$21),2)</f>
        <v>9.85</v>
      </c>
      <c r="F319" s="41">
        <f>ROUND((Y319*(1-$N$5))*(1+BDI!$C$21),2)</f>
        <v>5.18</v>
      </c>
      <c r="G319" s="41">
        <f t="shared" si="336"/>
        <v>15.03</v>
      </c>
      <c r="H319" s="13">
        <f t="shared" si="342"/>
        <v>2107.9</v>
      </c>
      <c r="I319" s="13">
        <f t="shared" si="343"/>
        <v>1108.52</v>
      </c>
      <c r="J319" s="14">
        <f t="shared" si="344"/>
        <v>3216.42</v>
      </c>
      <c r="M319" s="54"/>
      <c r="N319" s="56"/>
      <c r="V319" s="74">
        <v>214</v>
      </c>
      <c r="W319" s="74" t="s">
        <v>75</v>
      </c>
      <c r="X319" s="13">
        <v>12.3</v>
      </c>
      <c r="Y319" s="13">
        <v>6.47</v>
      </c>
      <c r="Z319" s="13">
        <f t="shared" si="345"/>
        <v>18.77</v>
      </c>
      <c r="AB319" s="74">
        <v>214</v>
      </c>
      <c r="AC319" s="74" t="s">
        <v>75</v>
      </c>
      <c r="AD319" s="13">
        <v>15.84</v>
      </c>
      <c r="AE319" s="13">
        <v>8.33</v>
      </c>
      <c r="AF319" s="13">
        <f t="shared" si="346"/>
        <v>24.17</v>
      </c>
      <c r="AH319" s="89">
        <f t="shared" si="339"/>
        <v>-0.37815656565656564</v>
      </c>
      <c r="AI319" s="89">
        <f t="shared" si="340"/>
        <v>-0.37815126050420167</v>
      </c>
      <c r="AJ319" s="89">
        <f t="shared" si="341"/>
        <v>-0.37815473727761695</v>
      </c>
    </row>
    <row r="320" spans="1:36" x14ac:dyDescent="0.3">
      <c r="A320" s="17" t="s">
        <v>632</v>
      </c>
      <c r="B320" s="44" t="s">
        <v>1042</v>
      </c>
      <c r="C320" s="12">
        <f t="shared" si="347"/>
        <v>43</v>
      </c>
      <c r="D320" s="41" t="str">
        <f t="shared" si="348"/>
        <v>m</v>
      </c>
      <c r="E320" s="41">
        <f>ROUND((X320*(1-$M$5))*(1+BDI!$C$21),2)</f>
        <v>22.45</v>
      </c>
      <c r="F320" s="41">
        <f>ROUND((Y320*(1-$N$5))*(1+BDI!$C$21),2)</f>
        <v>3.7</v>
      </c>
      <c r="G320" s="41">
        <f t="shared" si="336"/>
        <v>26.15</v>
      </c>
      <c r="H320" s="13">
        <f t="shared" si="342"/>
        <v>965.35</v>
      </c>
      <c r="I320" s="13">
        <f t="shared" si="343"/>
        <v>159.1</v>
      </c>
      <c r="J320" s="14">
        <f t="shared" si="344"/>
        <v>1124.45</v>
      </c>
      <c r="M320" s="54"/>
      <c r="N320" s="56"/>
      <c r="V320" s="74">
        <v>43</v>
      </c>
      <c r="W320" s="74" t="s">
        <v>75</v>
      </c>
      <c r="X320" s="13">
        <v>28.04</v>
      </c>
      <c r="Y320" s="13">
        <v>4.62</v>
      </c>
      <c r="Z320" s="13">
        <f t="shared" si="345"/>
        <v>32.659999999999997</v>
      </c>
      <c r="AB320" s="74">
        <v>43</v>
      </c>
      <c r="AC320" s="74" t="s">
        <v>75</v>
      </c>
      <c r="AD320" s="13">
        <v>36.119999999999997</v>
      </c>
      <c r="AE320" s="13">
        <v>5.95</v>
      </c>
      <c r="AF320" s="13">
        <f t="shared" si="346"/>
        <v>42.07</v>
      </c>
      <c r="AH320" s="89">
        <f t="shared" si="339"/>
        <v>-0.37846068660022147</v>
      </c>
      <c r="AI320" s="89">
        <f t="shared" si="340"/>
        <v>-0.37815126050420167</v>
      </c>
      <c r="AJ320" s="89">
        <f t="shared" si="341"/>
        <v>-0.37841692417399575</v>
      </c>
    </row>
    <row r="321" spans="1:36" x14ac:dyDescent="0.3">
      <c r="A321" s="17" t="s">
        <v>633</v>
      </c>
      <c r="B321" s="44" t="s">
        <v>1043</v>
      </c>
      <c r="C321" s="12">
        <f t="shared" si="347"/>
        <v>314</v>
      </c>
      <c r="D321" s="41" t="str">
        <f t="shared" si="348"/>
        <v>m</v>
      </c>
      <c r="E321" s="41">
        <f>ROUND((X321*(1-$M$5))*(1+BDI!$C$21),2)</f>
        <v>46.56</v>
      </c>
      <c r="F321" s="41">
        <f>ROUND((Y321*(1-$N$5))*(1+BDI!$C$21),2)</f>
        <v>5.18</v>
      </c>
      <c r="G321" s="41">
        <f t="shared" si="336"/>
        <v>51.74</v>
      </c>
      <c r="H321" s="13">
        <f t="shared" si="342"/>
        <v>14619.84</v>
      </c>
      <c r="I321" s="13">
        <f t="shared" si="343"/>
        <v>1626.52</v>
      </c>
      <c r="J321" s="14">
        <f t="shared" si="344"/>
        <v>16246.36</v>
      </c>
      <c r="M321" s="54"/>
      <c r="N321" s="56"/>
      <c r="V321" s="74">
        <v>314</v>
      </c>
      <c r="W321" s="74" t="s">
        <v>75</v>
      </c>
      <c r="X321" s="13">
        <v>58.16</v>
      </c>
      <c r="Y321" s="13">
        <v>6.47</v>
      </c>
      <c r="Z321" s="13">
        <f t="shared" si="345"/>
        <v>64.63</v>
      </c>
      <c r="AB321" s="74">
        <v>314</v>
      </c>
      <c r="AC321" s="74" t="s">
        <v>75</v>
      </c>
      <c r="AD321" s="13">
        <v>74.92</v>
      </c>
      <c r="AE321" s="13">
        <v>8.33</v>
      </c>
      <c r="AF321" s="13">
        <f t="shared" si="346"/>
        <v>83.25</v>
      </c>
      <c r="AH321" s="89">
        <f t="shared" si="339"/>
        <v>-0.37853710624666315</v>
      </c>
      <c r="AI321" s="89">
        <f t="shared" si="340"/>
        <v>-0.37815126050420167</v>
      </c>
      <c r="AJ321" s="89">
        <f t="shared" si="341"/>
        <v>-0.37849849849849848</v>
      </c>
    </row>
    <row r="322" spans="1:36" x14ac:dyDescent="0.3">
      <c r="A322" s="17" t="s">
        <v>634</v>
      </c>
      <c r="B322" s="44" t="s">
        <v>1044</v>
      </c>
      <c r="C322" s="12">
        <f t="shared" si="347"/>
        <v>37</v>
      </c>
      <c r="D322" s="41" t="str">
        <f t="shared" si="348"/>
        <v>m</v>
      </c>
      <c r="E322" s="41">
        <f>ROUND((X322*(1-$M$5))*(1+BDI!$C$21),2)</f>
        <v>91.04</v>
      </c>
      <c r="F322" s="41">
        <f>ROUND((Y322*(1-$N$5))*(1+BDI!$C$21),2)</f>
        <v>8.2899999999999991</v>
      </c>
      <c r="G322" s="41">
        <f t="shared" si="336"/>
        <v>99.330000000000013</v>
      </c>
      <c r="H322" s="13">
        <f t="shared" si="342"/>
        <v>3368.48</v>
      </c>
      <c r="I322" s="13">
        <f t="shared" si="343"/>
        <v>306.72999999999996</v>
      </c>
      <c r="J322" s="14">
        <f t="shared" si="344"/>
        <v>3675.2100000000005</v>
      </c>
      <c r="M322" s="54"/>
      <c r="N322" s="56"/>
      <c r="V322" s="74">
        <v>37</v>
      </c>
      <c r="W322" s="74" t="s">
        <v>75</v>
      </c>
      <c r="X322" s="13">
        <v>113.73</v>
      </c>
      <c r="Y322" s="13">
        <v>10.35</v>
      </c>
      <c r="Z322" s="13">
        <f t="shared" si="345"/>
        <v>124.08</v>
      </c>
      <c r="AB322" s="74">
        <v>37</v>
      </c>
      <c r="AC322" s="74" t="s">
        <v>75</v>
      </c>
      <c r="AD322" s="13">
        <v>146.51</v>
      </c>
      <c r="AE322" s="13">
        <v>13.33</v>
      </c>
      <c r="AF322" s="13">
        <f t="shared" si="346"/>
        <v>159.84</v>
      </c>
      <c r="AH322" s="89">
        <f t="shared" si="339"/>
        <v>-0.3786089686710804</v>
      </c>
      <c r="AI322" s="89">
        <f t="shared" si="340"/>
        <v>-0.37809452363090779</v>
      </c>
      <c r="AJ322" s="89">
        <f t="shared" si="341"/>
        <v>-0.37856606606606602</v>
      </c>
    </row>
    <row r="323" spans="1:36" x14ac:dyDescent="0.3">
      <c r="A323" s="17" t="s">
        <v>635</v>
      </c>
      <c r="B323" s="44" t="s">
        <v>1045</v>
      </c>
      <c r="C323" s="12">
        <f t="shared" si="347"/>
        <v>55</v>
      </c>
      <c r="D323" s="41" t="str">
        <f t="shared" si="348"/>
        <v>m</v>
      </c>
      <c r="E323" s="41">
        <f>ROUND((X323*(1-$M$5))*(1+BDI!$C$21),2)</f>
        <v>159.61000000000001</v>
      </c>
      <c r="F323" s="41">
        <f>ROUND((Y323*(1-$N$5))*(1+BDI!$C$21),2)</f>
        <v>12.82</v>
      </c>
      <c r="G323" s="41">
        <f t="shared" ref="G323:G389" si="349">F323+E323</f>
        <v>172.43</v>
      </c>
      <c r="H323" s="13">
        <f t="shared" si="342"/>
        <v>8778.5500000000011</v>
      </c>
      <c r="I323" s="13">
        <f t="shared" si="343"/>
        <v>705.1</v>
      </c>
      <c r="J323" s="14">
        <f t="shared" si="344"/>
        <v>9483.65</v>
      </c>
      <c r="M323" s="54"/>
      <c r="N323" s="56"/>
      <c r="V323" s="74">
        <v>55</v>
      </c>
      <c r="W323" s="74" t="s">
        <v>75</v>
      </c>
      <c r="X323" s="13">
        <v>199.39</v>
      </c>
      <c r="Y323" s="13">
        <v>16.010000000000002</v>
      </c>
      <c r="Z323" s="13">
        <f t="shared" si="345"/>
        <v>215.39999999999998</v>
      </c>
      <c r="AB323" s="74">
        <v>55</v>
      </c>
      <c r="AC323" s="74" t="s">
        <v>75</v>
      </c>
      <c r="AD323" s="13">
        <v>256.85000000000002</v>
      </c>
      <c r="AE323" s="13">
        <v>20.62</v>
      </c>
      <c r="AF323" s="13">
        <f t="shared" si="346"/>
        <v>277.47000000000003</v>
      </c>
      <c r="AH323" s="89">
        <f t="shared" si="339"/>
        <v>-0.37858672376873659</v>
      </c>
      <c r="AI323" s="89">
        <f t="shared" si="340"/>
        <v>-0.37827352085354027</v>
      </c>
      <c r="AJ323" s="89">
        <f t="shared" si="341"/>
        <v>-0.3785634483007172</v>
      </c>
    </row>
    <row r="324" spans="1:36" x14ac:dyDescent="0.3">
      <c r="A324" s="17" t="s">
        <v>636</v>
      </c>
      <c r="B324" s="44" t="s">
        <v>637</v>
      </c>
      <c r="C324" s="12">
        <f t="shared" si="347"/>
        <v>204</v>
      </c>
      <c r="D324" s="41" t="str">
        <f t="shared" si="348"/>
        <v>UN</v>
      </c>
      <c r="E324" s="41">
        <f>ROUND((X324*(1-$M$5))*(1+BDI!$C$21),2)</f>
        <v>1.34</v>
      </c>
      <c r="F324" s="41">
        <f>ROUND((Y324*(1-$N$5))*(1+BDI!$C$21),2)</f>
        <v>16.93</v>
      </c>
      <c r="G324" s="41">
        <f t="shared" si="349"/>
        <v>18.27</v>
      </c>
      <c r="H324" s="13">
        <f t="shared" si="342"/>
        <v>273.36</v>
      </c>
      <c r="I324" s="13">
        <f t="shared" si="343"/>
        <v>3453.72</v>
      </c>
      <c r="J324" s="14">
        <f t="shared" si="344"/>
        <v>3727.08</v>
      </c>
      <c r="M324" s="54"/>
      <c r="N324" s="56"/>
      <c r="V324" s="74">
        <v>204</v>
      </c>
      <c r="W324" s="74" t="s">
        <v>46</v>
      </c>
      <c r="X324" s="13">
        <v>1.68</v>
      </c>
      <c r="Y324" s="13">
        <v>21.15</v>
      </c>
      <c r="Z324" s="13">
        <f t="shared" si="345"/>
        <v>22.83</v>
      </c>
      <c r="AB324" s="74">
        <v>204</v>
      </c>
      <c r="AC324" s="74" t="s">
        <v>46</v>
      </c>
      <c r="AD324" s="13">
        <v>2.16</v>
      </c>
      <c r="AE324" s="13">
        <v>27.25</v>
      </c>
      <c r="AF324" s="13">
        <f t="shared" si="346"/>
        <v>29.41</v>
      </c>
      <c r="AH324" s="89">
        <f t="shared" si="339"/>
        <v>-0.37962962962962965</v>
      </c>
      <c r="AI324" s="89">
        <f t="shared" si="340"/>
        <v>-0.37871559633027529</v>
      </c>
      <c r="AJ324" s="89">
        <f t="shared" si="341"/>
        <v>-0.37878272696361781</v>
      </c>
    </row>
    <row r="325" spans="1:36" x14ac:dyDescent="0.3">
      <c r="A325" s="17" t="s">
        <v>638</v>
      </c>
      <c r="B325" s="44" t="s">
        <v>639</v>
      </c>
      <c r="C325" s="12">
        <f t="shared" si="347"/>
        <v>134</v>
      </c>
      <c r="D325" s="41" t="str">
        <f t="shared" si="348"/>
        <v>UN</v>
      </c>
      <c r="E325" s="41">
        <f>ROUND((X325*(1-$M$5))*(1+BDI!$C$21),2)</f>
        <v>199.87</v>
      </c>
      <c r="F325" s="41">
        <f>ROUND((Y325*(1-$N$5))*(1+BDI!$C$21),2)</f>
        <v>29.67</v>
      </c>
      <c r="G325" s="41">
        <f t="shared" si="349"/>
        <v>229.54000000000002</v>
      </c>
      <c r="H325" s="13">
        <f t="shared" si="342"/>
        <v>26782.58</v>
      </c>
      <c r="I325" s="13">
        <f t="shared" si="343"/>
        <v>3975.78</v>
      </c>
      <c r="J325" s="14">
        <f t="shared" si="344"/>
        <v>30758.360000000004</v>
      </c>
      <c r="M325" s="54"/>
      <c r="N325" s="56"/>
      <c r="V325" s="74">
        <v>134</v>
      </c>
      <c r="W325" s="74" t="s">
        <v>46</v>
      </c>
      <c r="X325" s="13">
        <v>249.68</v>
      </c>
      <c r="Y325" s="13">
        <v>37.07</v>
      </c>
      <c r="Z325" s="13">
        <f t="shared" si="345"/>
        <v>286.75</v>
      </c>
      <c r="AB325" s="74">
        <v>134</v>
      </c>
      <c r="AC325" s="74" t="s">
        <v>46</v>
      </c>
      <c r="AD325" s="13">
        <v>321.64</v>
      </c>
      <c r="AE325" s="13">
        <v>47.75</v>
      </c>
      <c r="AF325" s="13">
        <f t="shared" si="346"/>
        <v>369.39</v>
      </c>
      <c r="AH325" s="89">
        <f t="shared" si="339"/>
        <v>-0.37859097127222974</v>
      </c>
      <c r="AI325" s="89">
        <f t="shared" si="340"/>
        <v>-0.37863874345549731</v>
      </c>
      <c r="AJ325" s="89">
        <f t="shared" si="341"/>
        <v>-0.37859714664717503</v>
      </c>
    </row>
    <row r="326" spans="1:36" x14ac:dyDescent="0.3">
      <c r="A326" s="17" t="s">
        <v>640</v>
      </c>
      <c r="B326" s="44" t="s">
        <v>641</v>
      </c>
      <c r="C326" s="12">
        <f t="shared" si="347"/>
        <v>5</v>
      </c>
      <c r="D326" s="41" t="str">
        <f t="shared" si="348"/>
        <v>UN</v>
      </c>
      <c r="E326" s="41">
        <f>ROUND((X326*(1-$M$5))*(1+BDI!$C$21),2)</f>
        <v>172.91</v>
      </c>
      <c r="F326" s="41">
        <f>ROUND((Y326*(1-$N$5))*(1+BDI!$C$21),2)</f>
        <v>29.67</v>
      </c>
      <c r="G326" s="41">
        <f t="shared" si="349"/>
        <v>202.57999999999998</v>
      </c>
      <c r="H326" s="13">
        <f t="shared" si="342"/>
        <v>864.55</v>
      </c>
      <c r="I326" s="13">
        <f t="shared" si="343"/>
        <v>148.35000000000002</v>
      </c>
      <c r="J326" s="14">
        <f t="shared" si="344"/>
        <v>1012.8999999999999</v>
      </c>
      <c r="M326" s="54"/>
      <c r="N326" s="56"/>
      <c r="V326" s="74">
        <v>5</v>
      </c>
      <c r="W326" s="74" t="s">
        <v>46</v>
      </c>
      <c r="X326" s="13">
        <v>216</v>
      </c>
      <c r="Y326" s="13">
        <v>37.07</v>
      </c>
      <c r="Z326" s="13">
        <f t="shared" si="345"/>
        <v>253.07</v>
      </c>
      <c r="AB326" s="74">
        <v>5</v>
      </c>
      <c r="AC326" s="74" t="s">
        <v>46</v>
      </c>
      <c r="AD326" s="13">
        <v>278.25</v>
      </c>
      <c r="AE326" s="13">
        <v>47.75</v>
      </c>
      <c r="AF326" s="13">
        <f t="shared" si="346"/>
        <v>326</v>
      </c>
      <c r="AH326" s="89">
        <f t="shared" si="339"/>
        <v>-0.37858041329739445</v>
      </c>
      <c r="AI326" s="89">
        <f t="shared" si="340"/>
        <v>-0.37863874345549731</v>
      </c>
      <c r="AJ326" s="89">
        <f t="shared" si="341"/>
        <v>-0.37858895705521478</v>
      </c>
    </row>
    <row r="327" spans="1:36" x14ac:dyDescent="0.3">
      <c r="A327" s="17" t="s">
        <v>642</v>
      </c>
      <c r="B327" s="44" t="s">
        <v>643</v>
      </c>
      <c r="C327" s="12">
        <f t="shared" si="347"/>
        <v>3</v>
      </c>
      <c r="D327" s="41" t="str">
        <f t="shared" si="348"/>
        <v>UN</v>
      </c>
      <c r="E327" s="41">
        <f>ROUND((X327*(1-$M$5))*(1+BDI!$C$21),2)</f>
        <v>14.41</v>
      </c>
      <c r="F327" s="41">
        <f>ROUND((Y327*(1-$N$5))*(1+BDI!$C$21),2)</f>
        <v>32.369999999999997</v>
      </c>
      <c r="G327" s="41">
        <f t="shared" si="349"/>
        <v>46.78</v>
      </c>
      <c r="H327" s="13">
        <f t="shared" si="342"/>
        <v>43.230000000000004</v>
      </c>
      <c r="I327" s="13">
        <f t="shared" si="343"/>
        <v>97.109999999999985</v>
      </c>
      <c r="J327" s="14">
        <f t="shared" si="344"/>
        <v>140.34</v>
      </c>
      <c r="M327" s="54"/>
      <c r="N327" s="56"/>
      <c r="V327" s="74">
        <v>3</v>
      </c>
      <c r="W327" s="74" t="s">
        <v>46</v>
      </c>
      <c r="X327" s="13">
        <v>18</v>
      </c>
      <c r="Y327" s="13">
        <v>40.44</v>
      </c>
      <c r="Z327" s="13">
        <f t="shared" si="345"/>
        <v>58.44</v>
      </c>
      <c r="AB327" s="74">
        <v>3</v>
      </c>
      <c r="AC327" s="74" t="s">
        <v>46</v>
      </c>
      <c r="AD327" s="13">
        <v>23.19</v>
      </c>
      <c r="AE327" s="13">
        <v>52.09</v>
      </c>
      <c r="AF327" s="13">
        <f t="shared" si="346"/>
        <v>75.28</v>
      </c>
      <c r="AH327" s="89">
        <f t="shared" si="339"/>
        <v>-0.37861147046140575</v>
      </c>
      <c r="AI327" s="89">
        <f t="shared" si="340"/>
        <v>-0.37857554233058177</v>
      </c>
      <c r="AJ327" s="89">
        <f t="shared" si="341"/>
        <v>-0.37858660998937299</v>
      </c>
    </row>
    <row r="328" spans="1:36" x14ac:dyDescent="0.3">
      <c r="A328" s="17" t="s">
        <v>644</v>
      </c>
      <c r="B328" s="44" t="s">
        <v>645</v>
      </c>
      <c r="C328" s="12">
        <f t="shared" si="347"/>
        <v>1</v>
      </c>
      <c r="D328" s="41" t="str">
        <f t="shared" si="348"/>
        <v>UN</v>
      </c>
      <c r="E328" s="41">
        <f>ROUND((X328*(1-$M$5))*(1+BDI!$C$21),2)</f>
        <v>64.67</v>
      </c>
      <c r="F328" s="41">
        <f>ROUND((Y328*(1-$N$5))*(1+BDI!$C$21),2)</f>
        <v>32.369999999999997</v>
      </c>
      <c r="G328" s="41">
        <f t="shared" si="349"/>
        <v>97.039999999999992</v>
      </c>
      <c r="H328" s="13">
        <f t="shared" si="342"/>
        <v>64.67</v>
      </c>
      <c r="I328" s="13">
        <f t="shared" si="343"/>
        <v>32.369999999999997</v>
      </c>
      <c r="J328" s="14">
        <f t="shared" si="344"/>
        <v>97.039999999999992</v>
      </c>
      <c r="M328" s="54"/>
      <c r="N328" s="56"/>
      <c r="V328" s="74">
        <v>1</v>
      </c>
      <c r="W328" s="74" t="s">
        <v>46</v>
      </c>
      <c r="X328" s="13">
        <v>80.790000000000006</v>
      </c>
      <c r="Y328" s="13">
        <v>40.44</v>
      </c>
      <c r="Z328" s="13">
        <f t="shared" si="345"/>
        <v>121.23</v>
      </c>
      <c r="AB328" s="74">
        <v>1</v>
      </c>
      <c r="AC328" s="74" t="s">
        <v>46</v>
      </c>
      <c r="AD328" s="13">
        <v>104.07</v>
      </c>
      <c r="AE328" s="13">
        <v>52.09</v>
      </c>
      <c r="AF328" s="13">
        <f t="shared" si="346"/>
        <v>156.16</v>
      </c>
      <c r="AH328" s="89">
        <f t="shared" si="339"/>
        <v>-0.37859133275679824</v>
      </c>
      <c r="AI328" s="89">
        <f t="shared" si="340"/>
        <v>-0.37857554233058177</v>
      </c>
      <c r="AJ328" s="89">
        <f t="shared" si="341"/>
        <v>-0.3785860655737705</v>
      </c>
    </row>
    <row r="329" spans="1:36" x14ac:dyDescent="0.3">
      <c r="A329" s="17" t="s">
        <v>646</v>
      </c>
      <c r="B329" s="44" t="s">
        <v>647</v>
      </c>
      <c r="C329" s="12">
        <f t="shared" si="347"/>
        <v>1</v>
      </c>
      <c r="D329" s="41" t="str">
        <f t="shared" si="348"/>
        <v>UN</v>
      </c>
      <c r="E329" s="41">
        <f>ROUND((X329*(1-$M$5))*(1+BDI!$C$21),2)</f>
        <v>177.93</v>
      </c>
      <c r="F329" s="41">
        <f>ROUND((Y329*(1-$N$5))*(1+BDI!$C$21),2)</f>
        <v>40.659999999999997</v>
      </c>
      <c r="G329" s="41">
        <f t="shared" si="349"/>
        <v>218.59</v>
      </c>
      <c r="H329" s="13">
        <f t="shared" si="342"/>
        <v>177.93</v>
      </c>
      <c r="I329" s="13">
        <f t="shared" si="343"/>
        <v>40.659999999999997</v>
      </c>
      <c r="J329" s="14">
        <f t="shared" si="344"/>
        <v>218.59</v>
      </c>
      <c r="M329" s="54"/>
      <c r="N329" s="56"/>
      <c r="V329" s="74">
        <v>1</v>
      </c>
      <c r="W329" s="74" t="s">
        <v>46</v>
      </c>
      <c r="X329" s="13">
        <v>222.28</v>
      </c>
      <c r="Y329" s="13">
        <v>50.79</v>
      </c>
      <c r="Z329" s="13">
        <f t="shared" si="345"/>
        <v>273.07</v>
      </c>
      <c r="AB329" s="74">
        <v>1</v>
      </c>
      <c r="AC329" s="74" t="s">
        <v>46</v>
      </c>
      <c r="AD329" s="13">
        <v>286.33999999999997</v>
      </c>
      <c r="AE329" s="13">
        <v>65.430000000000007</v>
      </c>
      <c r="AF329" s="13">
        <f t="shared" si="346"/>
        <v>351.77</v>
      </c>
      <c r="AH329" s="89">
        <f t="shared" si="339"/>
        <v>-0.37860585318153239</v>
      </c>
      <c r="AI329" s="89">
        <f t="shared" si="340"/>
        <v>-0.37857252025064969</v>
      </c>
      <c r="AJ329" s="89">
        <f t="shared" si="341"/>
        <v>-0.37859965318247712</v>
      </c>
    </row>
    <row r="330" spans="1:36" x14ac:dyDescent="0.3">
      <c r="A330" s="17" t="s">
        <v>648</v>
      </c>
      <c r="B330" s="44" t="s">
        <v>649</v>
      </c>
      <c r="C330" s="12">
        <f t="shared" si="347"/>
        <v>1</v>
      </c>
      <c r="D330" s="41" t="str">
        <f t="shared" si="348"/>
        <v>UN</v>
      </c>
      <c r="E330" s="41">
        <f>ROUND((X330*(1-$M$5))*(1+BDI!$C$21),2)</f>
        <v>89.1</v>
      </c>
      <c r="F330" s="41">
        <f>ROUND((Y330*(1-$N$5))*(1+BDI!$C$21),2)</f>
        <v>7.26</v>
      </c>
      <c r="G330" s="41">
        <f t="shared" si="349"/>
        <v>96.36</v>
      </c>
      <c r="H330" s="13">
        <f t="shared" si="342"/>
        <v>89.1</v>
      </c>
      <c r="I330" s="13">
        <f t="shared" si="343"/>
        <v>7.26</v>
      </c>
      <c r="J330" s="14">
        <f t="shared" si="344"/>
        <v>96.36</v>
      </c>
      <c r="M330" s="54"/>
      <c r="N330" s="56"/>
      <c r="V330" s="74">
        <v>1</v>
      </c>
      <c r="W330" s="74" t="s">
        <v>46</v>
      </c>
      <c r="X330" s="13">
        <v>111.31</v>
      </c>
      <c r="Y330" s="13">
        <v>9.07</v>
      </c>
      <c r="Z330" s="13">
        <f t="shared" si="345"/>
        <v>120.38</v>
      </c>
      <c r="AB330" s="74">
        <v>1</v>
      </c>
      <c r="AC330" s="74" t="s">
        <v>46</v>
      </c>
      <c r="AD330" s="13">
        <v>143.38999999999999</v>
      </c>
      <c r="AE330" s="13">
        <v>11.68</v>
      </c>
      <c r="AF330" s="13">
        <f t="shared" si="346"/>
        <v>155.07</v>
      </c>
      <c r="AH330" s="89">
        <f t="shared" si="339"/>
        <v>-0.37861775577097423</v>
      </c>
      <c r="AI330" s="89">
        <f t="shared" si="340"/>
        <v>-0.37842465753424659</v>
      </c>
      <c r="AJ330" s="89">
        <f t="shared" si="341"/>
        <v>-0.37860321145289222</v>
      </c>
    </row>
    <row r="331" spans="1:36" x14ac:dyDescent="0.3">
      <c r="A331" s="17" t="s">
        <v>650</v>
      </c>
      <c r="B331" s="44" t="s">
        <v>651</v>
      </c>
      <c r="C331" s="12">
        <f t="shared" si="347"/>
        <v>1</v>
      </c>
      <c r="D331" s="41" t="str">
        <f t="shared" si="348"/>
        <v>UN</v>
      </c>
      <c r="E331" s="41">
        <f>ROUND((X331*(1-$M$5))*(1+BDI!$C$21),2)</f>
        <v>237.34</v>
      </c>
      <c r="F331" s="41">
        <f>ROUND((Y331*(1-$N$5))*(1+BDI!$C$21),2)</f>
        <v>7.26</v>
      </c>
      <c r="G331" s="41">
        <f t="shared" si="349"/>
        <v>244.6</v>
      </c>
      <c r="H331" s="13">
        <f t="shared" si="342"/>
        <v>237.34</v>
      </c>
      <c r="I331" s="13">
        <f t="shared" si="343"/>
        <v>7.26</v>
      </c>
      <c r="J331" s="14">
        <f t="shared" si="344"/>
        <v>244.6</v>
      </c>
      <c r="M331" s="54"/>
      <c r="N331" s="56"/>
      <c r="V331" s="74">
        <v>1</v>
      </c>
      <c r="W331" s="74" t="s">
        <v>46</v>
      </c>
      <c r="X331" s="13">
        <v>296.49</v>
      </c>
      <c r="Y331" s="13">
        <v>9.07</v>
      </c>
      <c r="Z331" s="13">
        <f t="shared" si="345"/>
        <v>305.56</v>
      </c>
      <c r="AB331" s="74">
        <v>1</v>
      </c>
      <c r="AC331" s="74" t="s">
        <v>46</v>
      </c>
      <c r="AD331" s="13">
        <v>381.94</v>
      </c>
      <c r="AE331" s="13">
        <v>11.68</v>
      </c>
      <c r="AF331" s="13">
        <f t="shared" si="346"/>
        <v>393.62</v>
      </c>
      <c r="AH331" s="89">
        <f t="shared" si="339"/>
        <v>-0.37859349636068496</v>
      </c>
      <c r="AI331" s="89">
        <f t="shared" si="340"/>
        <v>-0.37842465753424659</v>
      </c>
      <c r="AJ331" s="89">
        <f t="shared" si="341"/>
        <v>-0.37858848635740061</v>
      </c>
    </row>
    <row r="332" spans="1:36" x14ac:dyDescent="0.3">
      <c r="A332" s="17" t="s">
        <v>652</v>
      </c>
      <c r="B332" s="44" t="s">
        <v>653</v>
      </c>
      <c r="C332" s="12">
        <f t="shared" si="347"/>
        <v>1</v>
      </c>
      <c r="D332" s="41" t="str">
        <f t="shared" si="348"/>
        <v>UN</v>
      </c>
      <c r="E332" s="41">
        <f>ROUND((X332*(1-$M$5))*(1+BDI!$C$21),2)</f>
        <v>209.38</v>
      </c>
      <c r="F332" s="41">
        <f>ROUND((Y332*(1-$N$5))*(1+BDI!$C$21),2)</f>
        <v>7.26</v>
      </c>
      <c r="G332" s="41">
        <f t="shared" si="349"/>
        <v>216.64</v>
      </c>
      <c r="H332" s="13">
        <f t="shared" si="342"/>
        <v>209.38</v>
      </c>
      <c r="I332" s="13">
        <f t="shared" si="343"/>
        <v>7.26</v>
      </c>
      <c r="J332" s="14">
        <f t="shared" si="344"/>
        <v>216.64</v>
      </c>
      <c r="M332" s="54"/>
      <c r="N332" s="56"/>
      <c r="V332" s="74">
        <v>1</v>
      </c>
      <c r="W332" s="74" t="s">
        <v>46</v>
      </c>
      <c r="X332" s="13">
        <v>261.57</v>
      </c>
      <c r="Y332" s="13">
        <v>9.07</v>
      </c>
      <c r="Z332" s="13">
        <f t="shared" si="345"/>
        <v>270.64</v>
      </c>
      <c r="AB332" s="74">
        <v>1</v>
      </c>
      <c r="AC332" s="74" t="s">
        <v>46</v>
      </c>
      <c r="AD332" s="13">
        <v>336.95</v>
      </c>
      <c r="AE332" s="13">
        <v>11.68</v>
      </c>
      <c r="AF332" s="13">
        <f t="shared" si="346"/>
        <v>348.63</v>
      </c>
      <c r="AH332" s="89">
        <f t="shared" si="339"/>
        <v>-0.37860216649354506</v>
      </c>
      <c r="AI332" s="89">
        <f t="shared" si="340"/>
        <v>-0.37842465753424659</v>
      </c>
      <c r="AJ332" s="89">
        <f t="shared" si="341"/>
        <v>-0.37859621948770905</v>
      </c>
    </row>
    <row r="333" spans="1:36" x14ac:dyDescent="0.3">
      <c r="A333" s="17" t="s">
        <v>654</v>
      </c>
      <c r="B333" s="44" t="s">
        <v>655</v>
      </c>
      <c r="C333" s="12">
        <f t="shared" si="347"/>
        <v>1</v>
      </c>
      <c r="D333" s="41" t="str">
        <f t="shared" si="348"/>
        <v>m</v>
      </c>
      <c r="E333" s="41">
        <f>ROUND((X333*(1-$M$5))*(1+BDI!$C$21),2)</f>
        <v>9.7899999999999991</v>
      </c>
      <c r="F333" s="41">
        <f>ROUND((Y333*(1-$N$5))*(1+BDI!$C$21),2)</f>
        <v>4.5599999999999996</v>
      </c>
      <c r="G333" s="41">
        <f t="shared" si="349"/>
        <v>14.349999999999998</v>
      </c>
      <c r="H333" s="13">
        <f t="shared" si="342"/>
        <v>9.7899999999999991</v>
      </c>
      <c r="I333" s="13">
        <f t="shared" si="343"/>
        <v>4.5599999999999996</v>
      </c>
      <c r="J333" s="14">
        <f t="shared" si="344"/>
        <v>14.349999999999998</v>
      </c>
      <c r="M333" s="54"/>
      <c r="N333" s="56"/>
      <c r="V333" s="74">
        <v>1</v>
      </c>
      <c r="W333" s="74" t="s">
        <v>75</v>
      </c>
      <c r="X333" s="13">
        <v>12.23</v>
      </c>
      <c r="Y333" s="13">
        <v>5.7</v>
      </c>
      <c r="Z333" s="13">
        <f t="shared" si="345"/>
        <v>17.93</v>
      </c>
      <c r="AB333" s="74">
        <v>1</v>
      </c>
      <c r="AC333" s="74" t="s">
        <v>75</v>
      </c>
      <c r="AD333" s="13">
        <v>15.75</v>
      </c>
      <c r="AE333" s="13">
        <v>7.34</v>
      </c>
      <c r="AF333" s="13">
        <f t="shared" si="346"/>
        <v>23.09</v>
      </c>
      <c r="AH333" s="89">
        <f t="shared" si="339"/>
        <v>-0.37841269841269842</v>
      </c>
      <c r="AI333" s="89">
        <f t="shared" si="340"/>
        <v>-0.37874659400544963</v>
      </c>
      <c r="AJ333" s="89">
        <f t="shared" si="341"/>
        <v>-0.37851883932438291</v>
      </c>
    </row>
    <row r="334" spans="1:36" x14ac:dyDescent="0.3">
      <c r="A334" s="17" t="s">
        <v>656</v>
      </c>
      <c r="B334" s="44" t="s">
        <v>657</v>
      </c>
      <c r="C334" s="12">
        <f t="shared" si="347"/>
        <v>1</v>
      </c>
      <c r="D334" s="41" t="str">
        <f t="shared" si="348"/>
        <v>m</v>
      </c>
      <c r="E334" s="41">
        <f>ROUND((X334*(1-$M$5))*(1+BDI!$C$21),2)</f>
        <v>13.55</v>
      </c>
      <c r="F334" s="41">
        <f>ROUND((Y334*(1-$N$5))*(1+BDI!$C$21),2)</f>
        <v>4.5599999999999996</v>
      </c>
      <c r="G334" s="41">
        <f t="shared" si="349"/>
        <v>18.11</v>
      </c>
      <c r="H334" s="13">
        <f t="shared" si="342"/>
        <v>13.55</v>
      </c>
      <c r="I334" s="13">
        <f t="shared" si="343"/>
        <v>4.5599999999999996</v>
      </c>
      <c r="J334" s="14">
        <f t="shared" si="344"/>
        <v>18.11</v>
      </c>
      <c r="M334" s="54"/>
      <c r="N334" s="56"/>
      <c r="V334" s="74">
        <v>1</v>
      </c>
      <c r="W334" s="74" t="s">
        <v>75</v>
      </c>
      <c r="X334" s="13">
        <v>16.93</v>
      </c>
      <c r="Y334" s="13">
        <v>5.7</v>
      </c>
      <c r="Z334" s="13">
        <f t="shared" si="345"/>
        <v>22.63</v>
      </c>
      <c r="AB334" s="74">
        <v>1</v>
      </c>
      <c r="AC334" s="74" t="s">
        <v>75</v>
      </c>
      <c r="AD334" s="13">
        <v>21.81</v>
      </c>
      <c r="AE334" s="13">
        <v>7.34</v>
      </c>
      <c r="AF334" s="13">
        <f t="shared" si="346"/>
        <v>29.15</v>
      </c>
      <c r="AH334" s="89">
        <f t="shared" si="339"/>
        <v>-0.37872535534158636</v>
      </c>
      <c r="AI334" s="89">
        <f t="shared" si="340"/>
        <v>-0.37874659400544963</v>
      </c>
      <c r="AJ334" s="89">
        <f t="shared" si="341"/>
        <v>-0.37873070325900515</v>
      </c>
    </row>
    <row r="335" spans="1:36" x14ac:dyDescent="0.3">
      <c r="A335" s="17" t="s">
        <v>658</v>
      </c>
      <c r="B335" s="44" t="s">
        <v>659</v>
      </c>
      <c r="C335" s="12">
        <f t="shared" si="347"/>
        <v>21</v>
      </c>
      <c r="D335" s="41" t="str">
        <f t="shared" si="348"/>
        <v>UN</v>
      </c>
      <c r="E335" s="41">
        <f>ROUND((X335*(1-$M$5))*(1+BDI!$C$21),2)</f>
        <v>383.3</v>
      </c>
      <c r="F335" s="41">
        <f>ROUND((Y335*(1-$N$5))*(1+BDI!$C$21),2)</f>
        <v>29.67</v>
      </c>
      <c r="G335" s="41">
        <f t="shared" si="349"/>
        <v>412.97</v>
      </c>
      <c r="H335" s="13">
        <f t="shared" si="342"/>
        <v>8049.3</v>
      </c>
      <c r="I335" s="13">
        <f t="shared" si="343"/>
        <v>623.07000000000005</v>
      </c>
      <c r="J335" s="14">
        <f t="shared" si="344"/>
        <v>8672.3700000000008</v>
      </c>
      <c r="M335" s="54"/>
      <c r="N335" s="56"/>
      <c r="V335" s="74">
        <v>21</v>
      </c>
      <c r="W335" s="74" t="s">
        <v>46</v>
      </c>
      <c r="X335" s="13">
        <v>478.83</v>
      </c>
      <c r="Y335" s="13">
        <v>37.07</v>
      </c>
      <c r="Z335" s="13">
        <f t="shared" si="345"/>
        <v>515.9</v>
      </c>
      <c r="AB335" s="74">
        <v>21</v>
      </c>
      <c r="AC335" s="74" t="s">
        <v>46</v>
      </c>
      <c r="AD335" s="13">
        <v>616.83000000000004</v>
      </c>
      <c r="AE335" s="13">
        <v>47.75</v>
      </c>
      <c r="AF335" s="13">
        <f t="shared" si="346"/>
        <v>664.58</v>
      </c>
      <c r="AH335" s="89">
        <f t="shared" si="339"/>
        <v>-0.37859702024869091</v>
      </c>
      <c r="AI335" s="89">
        <f t="shared" si="340"/>
        <v>-0.37863874345549731</v>
      </c>
      <c r="AJ335" s="89">
        <f t="shared" si="341"/>
        <v>-0.37860001805651688</v>
      </c>
    </row>
    <row r="336" spans="1:36" x14ac:dyDescent="0.3">
      <c r="A336" s="17" t="s">
        <v>660</v>
      </c>
      <c r="B336" s="44" t="s">
        <v>661</v>
      </c>
      <c r="C336" s="12">
        <f t="shared" si="347"/>
        <v>19</v>
      </c>
      <c r="D336" s="41" t="str">
        <f t="shared" si="348"/>
        <v>UN</v>
      </c>
      <c r="E336" s="41">
        <f>ROUND((X336*(1-$M$5))*(1+BDI!$C$21),2)</f>
        <v>28.07</v>
      </c>
      <c r="F336" s="41">
        <f>ROUND((Y336*(1-$N$5))*(1+BDI!$C$21),2)</f>
        <v>10.16</v>
      </c>
      <c r="G336" s="41">
        <f t="shared" si="349"/>
        <v>38.230000000000004</v>
      </c>
      <c r="H336" s="13">
        <f t="shared" si="342"/>
        <v>533.33000000000004</v>
      </c>
      <c r="I336" s="13">
        <f t="shared" si="343"/>
        <v>193.04</v>
      </c>
      <c r="J336" s="14">
        <f t="shared" si="344"/>
        <v>726.37000000000012</v>
      </c>
      <c r="M336" s="54"/>
      <c r="N336" s="56"/>
      <c r="V336" s="74">
        <v>19</v>
      </c>
      <c r="W336" s="74" t="s">
        <v>46</v>
      </c>
      <c r="X336" s="13">
        <v>35.06</v>
      </c>
      <c r="Y336" s="13">
        <v>12.69</v>
      </c>
      <c r="Z336" s="13">
        <f t="shared" si="345"/>
        <v>47.75</v>
      </c>
      <c r="AB336" s="74">
        <v>19</v>
      </c>
      <c r="AC336" s="74" t="s">
        <v>46</v>
      </c>
      <c r="AD336" s="13">
        <v>45.16</v>
      </c>
      <c r="AE336" s="13">
        <v>16.350000000000001</v>
      </c>
      <c r="AF336" s="13">
        <f t="shared" si="346"/>
        <v>61.51</v>
      </c>
      <c r="AH336" s="89">
        <f t="shared" si="339"/>
        <v>-0.37843224092116912</v>
      </c>
      <c r="AI336" s="89">
        <f t="shared" si="340"/>
        <v>-0.37859327217125383</v>
      </c>
      <c r="AJ336" s="89">
        <f t="shared" si="341"/>
        <v>-0.3784750447081775</v>
      </c>
    </row>
    <row r="337" spans="1:36" x14ac:dyDescent="0.3">
      <c r="A337" s="17" t="s">
        <v>662</v>
      </c>
      <c r="B337" s="44" t="s">
        <v>663</v>
      </c>
      <c r="C337" s="12">
        <f t="shared" si="347"/>
        <v>1</v>
      </c>
      <c r="D337" s="41" t="str">
        <f t="shared" si="348"/>
        <v>UN</v>
      </c>
      <c r="E337" s="41">
        <f>ROUND((X337*(1-$M$5))*(1+BDI!$C$21),2)</f>
        <v>186.35</v>
      </c>
      <c r="F337" s="41">
        <f>ROUND((Y337*(1-$N$5))*(1+BDI!$C$21),2)</f>
        <v>40.659999999999997</v>
      </c>
      <c r="G337" s="41">
        <f t="shared" si="349"/>
        <v>227.01</v>
      </c>
      <c r="H337" s="13">
        <f t="shared" si="342"/>
        <v>186.35</v>
      </c>
      <c r="I337" s="13">
        <f t="shared" si="343"/>
        <v>40.659999999999997</v>
      </c>
      <c r="J337" s="14">
        <f t="shared" si="344"/>
        <v>227.01</v>
      </c>
      <c r="M337" s="54"/>
      <c r="N337" s="56"/>
      <c r="V337" s="74">
        <v>1</v>
      </c>
      <c r="W337" s="74" t="s">
        <v>46</v>
      </c>
      <c r="X337" s="13">
        <v>232.8</v>
      </c>
      <c r="Y337" s="13">
        <v>50.79</v>
      </c>
      <c r="Z337" s="13">
        <f t="shared" si="345"/>
        <v>283.59000000000003</v>
      </c>
      <c r="AB337" s="74">
        <v>1</v>
      </c>
      <c r="AC337" s="74" t="s">
        <v>46</v>
      </c>
      <c r="AD337" s="13">
        <v>299.89</v>
      </c>
      <c r="AE337" s="13">
        <v>65.430000000000007</v>
      </c>
      <c r="AF337" s="13">
        <f t="shared" si="346"/>
        <v>365.32</v>
      </c>
      <c r="AH337" s="89">
        <f t="shared" si="339"/>
        <v>-0.37860548867918231</v>
      </c>
      <c r="AI337" s="89">
        <f t="shared" si="340"/>
        <v>-0.37857252025064969</v>
      </c>
      <c r="AJ337" s="89">
        <f t="shared" si="341"/>
        <v>-0.37859958392642068</v>
      </c>
    </row>
    <row r="338" spans="1:36" x14ac:dyDescent="0.3">
      <c r="A338" s="17" t="s">
        <v>664</v>
      </c>
      <c r="B338" s="44" t="s">
        <v>665</v>
      </c>
      <c r="C338" s="12">
        <f t="shared" si="347"/>
        <v>8</v>
      </c>
      <c r="D338" s="41" t="str">
        <f t="shared" si="348"/>
        <v>UN</v>
      </c>
      <c r="E338" s="41">
        <f>ROUND((X338*(1-$M$5))*(1+BDI!$C$21),2)</f>
        <v>263.19</v>
      </c>
      <c r="F338" s="41">
        <f>ROUND((Y338*(1-$N$5))*(1+BDI!$C$21),2)</f>
        <v>334.55</v>
      </c>
      <c r="G338" s="41">
        <f t="shared" si="349"/>
        <v>597.74</v>
      </c>
      <c r="H338" s="13">
        <f t="shared" si="342"/>
        <v>2105.52</v>
      </c>
      <c r="I338" s="13">
        <f t="shared" si="343"/>
        <v>2676.4</v>
      </c>
      <c r="J338" s="14">
        <f t="shared" si="344"/>
        <v>4781.92</v>
      </c>
      <c r="M338" s="54"/>
      <c r="N338" s="56"/>
      <c r="V338" s="74">
        <v>8</v>
      </c>
      <c r="W338" s="74" t="s">
        <v>46</v>
      </c>
      <c r="X338" s="13">
        <v>328.79</v>
      </c>
      <c r="Y338" s="13">
        <v>417.93</v>
      </c>
      <c r="Z338" s="13">
        <f t="shared" si="345"/>
        <v>746.72</v>
      </c>
      <c r="AB338" s="74">
        <v>8</v>
      </c>
      <c r="AC338" s="74" t="s">
        <v>46</v>
      </c>
      <c r="AD338" s="13">
        <v>423.55</v>
      </c>
      <c r="AE338" s="13">
        <v>538.38</v>
      </c>
      <c r="AF338" s="13">
        <f t="shared" si="346"/>
        <v>961.93000000000006</v>
      </c>
      <c r="AH338" s="89">
        <f t="shared" si="339"/>
        <v>-0.37860937315547161</v>
      </c>
      <c r="AI338" s="89">
        <f t="shared" si="340"/>
        <v>-0.37859875924068498</v>
      </c>
      <c r="AJ338" s="89">
        <f t="shared" si="341"/>
        <v>-0.37860343268221186</v>
      </c>
    </row>
    <row r="339" spans="1:36" x14ac:dyDescent="0.3">
      <c r="A339" s="17" t="s">
        <v>666</v>
      </c>
      <c r="B339" s="44" t="s">
        <v>667</v>
      </c>
      <c r="C339" s="12">
        <f t="shared" si="347"/>
        <v>36</v>
      </c>
      <c r="D339" s="41" t="str">
        <f t="shared" si="348"/>
        <v>UN</v>
      </c>
      <c r="E339" s="41">
        <f>ROUND((X339*(1-$M$5))*(1+BDI!$C$21),2)</f>
        <v>75.94</v>
      </c>
      <c r="F339" s="41">
        <f>ROUND((Y339*(1-$N$5))*(1+BDI!$C$21),2)</f>
        <v>9.1199999999999992</v>
      </c>
      <c r="G339" s="41">
        <f t="shared" si="349"/>
        <v>85.06</v>
      </c>
      <c r="H339" s="13">
        <f t="shared" si="342"/>
        <v>2733.84</v>
      </c>
      <c r="I339" s="13">
        <f t="shared" si="343"/>
        <v>328.32</v>
      </c>
      <c r="J339" s="14">
        <f t="shared" si="344"/>
        <v>3062.16</v>
      </c>
      <c r="M339" s="54"/>
      <c r="N339" s="56"/>
      <c r="V339" s="74">
        <v>36</v>
      </c>
      <c r="W339" s="74" t="s">
        <v>46</v>
      </c>
      <c r="X339" s="13">
        <v>94.87</v>
      </c>
      <c r="Y339" s="13">
        <v>11.39</v>
      </c>
      <c r="Z339" s="13">
        <f t="shared" si="345"/>
        <v>106.26</v>
      </c>
      <c r="AB339" s="74">
        <v>36</v>
      </c>
      <c r="AC339" s="74" t="s">
        <v>46</v>
      </c>
      <c r="AD339" s="13">
        <v>122.21</v>
      </c>
      <c r="AE339" s="13">
        <v>14.67</v>
      </c>
      <c r="AF339" s="13">
        <f t="shared" si="346"/>
        <v>136.88</v>
      </c>
      <c r="AH339" s="89">
        <f t="shared" si="339"/>
        <v>-0.37861058833156036</v>
      </c>
      <c r="AI339" s="89">
        <f t="shared" si="340"/>
        <v>-0.37832310838445815</v>
      </c>
      <c r="AJ339" s="89">
        <f t="shared" si="341"/>
        <v>-0.37857977790765629</v>
      </c>
    </row>
    <row r="340" spans="1:36" x14ac:dyDescent="0.3">
      <c r="A340" s="17" t="s">
        <v>668</v>
      </c>
      <c r="B340" s="44" t="s">
        <v>669</v>
      </c>
      <c r="C340" s="12">
        <f t="shared" si="347"/>
        <v>23</v>
      </c>
      <c r="D340" s="41" t="str">
        <f t="shared" si="348"/>
        <v>UN</v>
      </c>
      <c r="E340" s="41">
        <f>ROUND((X340*(1-$M$5))*(1+BDI!$C$21),2)</f>
        <v>51.31</v>
      </c>
      <c r="F340" s="41">
        <f>ROUND((Y340*(1-$N$5))*(1+BDI!$C$21),2)</f>
        <v>4.5599999999999996</v>
      </c>
      <c r="G340" s="41">
        <f t="shared" si="349"/>
        <v>55.870000000000005</v>
      </c>
      <c r="H340" s="13">
        <f t="shared" si="342"/>
        <v>1180.1300000000001</v>
      </c>
      <c r="I340" s="13">
        <f t="shared" si="343"/>
        <v>104.88</v>
      </c>
      <c r="J340" s="14">
        <f t="shared" si="344"/>
        <v>1285.0100000000002</v>
      </c>
      <c r="M340" s="54"/>
      <c r="N340" s="56"/>
      <c r="V340" s="74">
        <v>23</v>
      </c>
      <c r="W340" s="74" t="s">
        <v>46</v>
      </c>
      <c r="X340" s="13">
        <v>64.099999999999994</v>
      </c>
      <c r="Y340" s="13">
        <v>5.7</v>
      </c>
      <c r="Z340" s="13">
        <f t="shared" si="345"/>
        <v>69.8</v>
      </c>
      <c r="AB340" s="74">
        <v>23</v>
      </c>
      <c r="AC340" s="74" t="s">
        <v>46</v>
      </c>
      <c r="AD340" s="13">
        <v>82.57</v>
      </c>
      <c r="AE340" s="13">
        <v>7.34</v>
      </c>
      <c r="AF340" s="13">
        <f t="shared" si="346"/>
        <v>89.91</v>
      </c>
      <c r="AH340" s="89">
        <f t="shared" si="339"/>
        <v>-0.37858786484195217</v>
      </c>
      <c r="AI340" s="89">
        <f t="shared" si="340"/>
        <v>-0.37874659400544963</v>
      </c>
      <c r="AJ340" s="89">
        <f t="shared" si="341"/>
        <v>-0.37860082304526743</v>
      </c>
    </row>
    <row r="341" spans="1:36" x14ac:dyDescent="0.3">
      <c r="A341" s="17" t="s">
        <v>670</v>
      </c>
      <c r="B341" s="44" t="s">
        <v>671</v>
      </c>
      <c r="C341" s="12">
        <f t="shared" si="347"/>
        <v>106</v>
      </c>
      <c r="D341" s="41" t="str">
        <f t="shared" si="348"/>
        <v>UN</v>
      </c>
      <c r="E341" s="41">
        <f>ROUND((X341*(1-$M$5))*(1+BDI!$C$21),2)</f>
        <v>39</v>
      </c>
      <c r="F341" s="41">
        <f>ROUND((Y341*(1-$N$5))*(1+BDI!$C$21),2)</f>
        <v>2.2799999999999998</v>
      </c>
      <c r="G341" s="41">
        <f t="shared" si="349"/>
        <v>41.28</v>
      </c>
      <c r="H341" s="13">
        <f t="shared" si="342"/>
        <v>4134</v>
      </c>
      <c r="I341" s="13">
        <f t="shared" si="343"/>
        <v>241.67999999999998</v>
      </c>
      <c r="J341" s="14">
        <f t="shared" si="344"/>
        <v>4375.68</v>
      </c>
      <c r="M341" s="54"/>
      <c r="N341" s="56"/>
      <c r="V341" s="74">
        <v>106</v>
      </c>
      <c r="W341" s="74" t="s">
        <v>46</v>
      </c>
      <c r="X341" s="13">
        <v>48.72</v>
      </c>
      <c r="Y341" s="13">
        <v>2.85</v>
      </c>
      <c r="Z341" s="13">
        <f t="shared" si="345"/>
        <v>51.57</v>
      </c>
      <c r="AB341" s="74">
        <v>106</v>
      </c>
      <c r="AC341" s="74" t="s">
        <v>46</v>
      </c>
      <c r="AD341" s="13">
        <v>62.76</v>
      </c>
      <c r="AE341" s="13">
        <v>3.67</v>
      </c>
      <c r="AF341" s="13">
        <f t="shared" si="346"/>
        <v>66.429999999999993</v>
      </c>
      <c r="AH341" s="89">
        <f t="shared" si="339"/>
        <v>-0.37858508604206498</v>
      </c>
      <c r="AI341" s="89">
        <f t="shared" si="340"/>
        <v>-0.37874659400544963</v>
      </c>
      <c r="AJ341" s="89">
        <f t="shared" si="341"/>
        <v>-0.37859400873099491</v>
      </c>
    </row>
    <row r="342" spans="1:36" x14ac:dyDescent="0.3">
      <c r="A342" s="17" t="s">
        <v>672</v>
      </c>
      <c r="B342" s="44" t="s">
        <v>673</v>
      </c>
      <c r="C342" s="12">
        <f t="shared" si="347"/>
        <v>24</v>
      </c>
      <c r="D342" s="41" t="str">
        <f t="shared" si="348"/>
        <v>UN</v>
      </c>
      <c r="E342" s="41">
        <f>ROUND((X342*(1-$M$5))*(1+BDI!$C$21),2)</f>
        <v>34.08</v>
      </c>
      <c r="F342" s="41">
        <f>ROUND((Y342*(1-$N$5))*(1+BDI!$C$21),2)</f>
        <v>1.37</v>
      </c>
      <c r="G342" s="41">
        <f t="shared" si="349"/>
        <v>35.449999999999996</v>
      </c>
      <c r="H342" s="13">
        <f t="shared" si="342"/>
        <v>817.92</v>
      </c>
      <c r="I342" s="13">
        <f t="shared" si="343"/>
        <v>32.880000000000003</v>
      </c>
      <c r="J342" s="14">
        <f t="shared" si="344"/>
        <v>850.8</v>
      </c>
      <c r="M342" s="54"/>
      <c r="N342" s="56"/>
      <c r="V342" s="74">
        <v>24</v>
      </c>
      <c r="W342" s="74" t="s">
        <v>46</v>
      </c>
      <c r="X342" s="13">
        <v>42.57</v>
      </c>
      <c r="Y342" s="13">
        <v>1.71</v>
      </c>
      <c r="Z342" s="13">
        <f t="shared" si="345"/>
        <v>44.28</v>
      </c>
      <c r="AB342" s="74">
        <v>24</v>
      </c>
      <c r="AC342" s="74" t="s">
        <v>46</v>
      </c>
      <c r="AD342" s="13">
        <v>54.84</v>
      </c>
      <c r="AE342" s="13">
        <v>2.2000000000000002</v>
      </c>
      <c r="AF342" s="13">
        <f t="shared" si="346"/>
        <v>57.040000000000006</v>
      </c>
      <c r="AH342" s="89">
        <f t="shared" si="339"/>
        <v>-0.37855579868708977</v>
      </c>
      <c r="AI342" s="89">
        <f t="shared" si="340"/>
        <v>-0.37727272727272732</v>
      </c>
      <c r="AJ342" s="89">
        <f t="shared" si="341"/>
        <v>-0.37850631136044899</v>
      </c>
    </row>
    <row r="343" spans="1:36" x14ac:dyDescent="0.3">
      <c r="A343" s="17" t="s">
        <v>674</v>
      </c>
      <c r="B343" s="44" t="s">
        <v>675</v>
      </c>
      <c r="C343" s="12">
        <f t="shared" si="347"/>
        <v>88</v>
      </c>
      <c r="D343" s="41" t="str">
        <f t="shared" si="348"/>
        <v>UN</v>
      </c>
      <c r="E343" s="41">
        <f>ROUND((X343*(1-$M$5))*(1+BDI!$C$21),2)</f>
        <v>9.1300000000000008</v>
      </c>
      <c r="F343" s="41">
        <f>ROUND((Y343*(1-$N$5))*(1+BDI!$C$21),2)</f>
        <v>53.95</v>
      </c>
      <c r="G343" s="41">
        <f t="shared" si="349"/>
        <v>63.080000000000005</v>
      </c>
      <c r="H343" s="13">
        <f t="shared" si="342"/>
        <v>803.44</v>
      </c>
      <c r="I343" s="13">
        <f t="shared" si="343"/>
        <v>4747.6000000000004</v>
      </c>
      <c r="J343" s="14">
        <f t="shared" si="344"/>
        <v>5551.0400000000009</v>
      </c>
      <c r="M343" s="54"/>
      <c r="N343" s="56"/>
      <c r="V343" s="74">
        <v>88</v>
      </c>
      <c r="W343" s="74" t="s">
        <v>46</v>
      </c>
      <c r="X343" s="13">
        <v>11.4</v>
      </c>
      <c r="Y343" s="13">
        <v>67.400000000000006</v>
      </c>
      <c r="Z343" s="13">
        <f t="shared" si="345"/>
        <v>78.800000000000011</v>
      </c>
      <c r="AB343" s="74">
        <v>88</v>
      </c>
      <c r="AC343" s="74" t="s">
        <v>46</v>
      </c>
      <c r="AD343" s="13">
        <v>14.69</v>
      </c>
      <c r="AE343" s="13">
        <v>86.82</v>
      </c>
      <c r="AF343" s="13">
        <f t="shared" si="346"/>
        <v>101.50999999999999</v>
      </c>
      <c r="AH343" s="89">
        <f t="shared" si="339"/>
        <v>-0.37848876786929875</v>
      </c>
      <c r="AI343" s="89">
        <f t="shared" si="340"/>
        <v>-0.37859940105966361</v>
      </c>
      <c r="AJ343" s="89">
        <f t="shared" si="341"/>
        <v>-0.37858339079893599</v>
      </c>
    </row>
    <row r="344" spans="1:36" x14ac:dyDescent="0.3">
      <c r="A344" s="17" t="s">
        <v>676</v>
      </c>
      <c r="B344" s="44" t="s">
        <v>677</v>
      </c>
      <c r="C344" s="12">
        <f t="shared" si="347"/>
        <v>1</v>
      </c>
      <c r="D344" s="41" t="str">
        <f t="shared" si="348"/>
        <v>m</v>
      </c>
      <c r="E344" s="41">
        <f>ROUND((X344*(1-$M$5))*(1+BDI!$C$21),2)</f>
        <v>21.67</v>
      </c>
      <c r="F344" s="41">
        <f>ROUND((Y344*(1-$N$5))*(1+BDI!$C$21),2)</f>
        <v>4.5599999999999996</v>
      </c>
      <c r="G344" s="41">
        <f t="shared" si="349"/>
        <v>26.23</v>
      </c>
      <c r="H344" s="13">
        <f t="shared" si="342"/>
        <v>21.67</v>
      </c>
      <c r="I344" s="13">
        <f t="shared" si="343"/>
        <v>4.5599999999999996</v>
      </c>
      <c r="J344" s="14">
        <f t="shared" si="344"/>
        <v>26.23</v>
      </c>
      <c r="M344" s="54"/>
      <c r="N344" s="56"/>
      <c r="V344" s="74">
        <v>1</v>
      </c>
      <c r="W344" s="74" t="s">
        <v>75</v>
      </c>
      <c r="X344" s="13">
        <v>27.07</v>
      </c>
      <c r="Y344" s="13">
        <v>5.7</v>
      </c>
      <c r="Z344" s="13">
        <f t="shared" ref="Z344:Z378" si="350">SUM(X344:Y344)</f>
        <v>32.770000000000003</v>
      </c>
      <c r="AB344" s="74">
        <v>1</v>
      </c>
      <c r="AC344" s="74" t="s">
        <v>75</v>
      </c>
      <c r="AD344" s="13">
        <v>34.869999999999997</v>
      </c>
      <c r="AE344" s="13">
        <v>7.34</v>
      </c>
      <c r="AF344" s="13">
        <f t="shared" ref="AF344:AF368" si="351">SUM(AD344:AE344)</f>
        <v>42.209999999999994</v>
      </c>
      <c r="AH344" s="89">
        <f t="shared" si="339"/>
        <v>-0.37854889589905349</v>
      </c>
      <c r="AI344" s="89">
        <f t="shared" si="340"/>
        <v>-0.37874659400544963</v>
      </c>
      <c r="AJ344" s="89">
        <f t="shared" si="341"/>
        <v>-0.37858327410566206</v>
      </c>
    </row>
    <row r="345" spans="1:36" x14ac:dyDescent="0.3">
      <c r="A345" s="17" t="s">
        <v>678</v>
      </c>
      <c r="B345" s="44" t="s">
        <v>679</v>
      </c>
      <c r="C345" s="12">
        <f t="shared" si="347"/>
        <v>130</v>
      </c>
      <c r="D345" s="41" t="str">
        <f t="shared" si="348"/>
        <v>UN</v>
      </c>
      <c r="E345" s="41">
        <f>ROUND((X345*(1-$M$5))*(1+BDI!$C$21),2)</f>
        <v>247.97</v>
      </c>
      <c r="F345" s="41">
        <f>ROUND((Y345*(1-$N$5))*(1+BDI!$C$21),2)</f>
        <v>29.67</v>
      </c>
      <c r="G345" s="41">
        <f t="shared" si="349"/>
        <v>277.64</v>
      </c>
      <c r="H345" s="13">
        <f t="shared" si="342"/>
        <v>32236.1</v>
      </c>
      <c r="I345" s="13">
        <f t="shared" si="343"/>
        <v>3857.1000000000004</v>
      </c>
      <c r="J345" s="14">
        <f t="shared" si="344"/>
        <v>36093.199999999997</v>
      </c>
      <c r="M345" s="54"/>
      <c r="N345" s="56"/>
      <c r="V345" s="74">
        <v>130</v>
      </c>
      <c r="W345" s="74" t="s">
        <v>46</v>
      </c>
      <c r="X345" s="13">
        <v>309.77</v>
      </c>
      <c r="Y345" s="13">
        <v>37.07</v>
      </c>
      <c r="Z345" s="13">
        <f t="shared" si="350"/>
        <v>346.84</v>
      </c>
      <c r="AB345" s="74">
        <v>130</v>
      </c>
      <c r="AC345" s="74" t="s">
        <v>46</v>
      </c>
      <c r="AD345" s="13">
        <v>399.05</v>
      </c>
      <c r="AE345" s="13">
        <v>47.75</v>
      </c>
      <c r="AF345" s="13">
        <f t="shared" si="351"/>
        <v>446.8</v>
      </c>
      <c r="AH345" s="89">
        <f t="shared" si="339"/>
        <v>-0.37859917303596047</v>
      </c>
      <c r="AI345" s="89">
        <f t="shared" si="340"/>
        <v>-0.37863874345549731</v>
      </c>
      <c r="AJ345" s="89">
        <f t="shared" si="341"/>
        <v>-0.37860340196956133</v>
      </c>
    </row>
    <row r="346" spans="1:36" x14ac:dyDescent="0.3">
      <c r="A346" s="17" t="s">
        <v>680</v>
      </c>
      <c r="B346" s="44" t="s">
        <v>681</v>
      </c>
      <c r="C346" s="12">
        <f t="shared" si="347"/>
        <v>1</v>
      </c>
      <c r="D346" s="41" t="str">
        <f t="shared" si="348"/>
        <v>UN</v>
      </c>
      <c r="E346" s="41">
        <f>ROUND((X346*(1-$M$5))*(1+BDI!$C$21),2)</f>
        <v>44.4</v>
      </c>
      <c r="F346" s="41">
        <f>ROUND((Y346*(1-$N$5))*(1+BDI!$C$21),2)</f>
        <v>2.2799999999999998</v>
      </c>
      <c r="G346" s="41">
        <f t="shared" si="349"/>
        <v>46.68</v>
      </c>
      <c r="H346" s="13">
        <f t="shared" si="342"/>
        <v>44.4</v>
      </c>
      <c r="I346" s="13">
        <f t="shared" si="343"/>
        <v>2.2799999999999998</v>
      </c>
      <c r="J346" s="14">
        <f t="shared" si="344"/>
        <v>46.68</v>
      </c>
      <c r="M346" s="54"/>
      <c r="N346" s="56"/>
      <c r="V346" s="74">
        <v>1</v>
      </c>
      <c r="W346" s="74" t="s">
        <v>46</v>
      </c>
      <c r="X346" s="13">
        <v>55.47</v>
      </c>
      <c r="Y346" s="13">
        <v>2.85</v>
      </c>
      <c r="Z346" s="13">
        <f t="shared" si="350"/>
        <v>58.32</v>
      </c>
      <c r="AB346" s="74">
        <v>1</v>
      </c>
      <c r="AC346" s="74" t="s">
        <v>46</v>
      </c>
      <c r="AD346" s="13">
        <v>71.459999999999994</v>
      </c>
      <c r="AE346" s="13">
        <v>3.67</v>
      </c>
      <c r="AF346" s="13">
        <f t="shared" si="351"/>
        <v>75.13</v>
      </c>
      <c r="AH346" s="89">
        <f t="shared" si="339"/>
        <v>-0.3786733837111671</v>
      </c>
      <c r="AI346" s="89">
        <f t="shared" si="340"/>
        <v>-0.37874659400544963</v>
      </c>
      <c r="AJ346" s="89">
        <f t="shared" si="341"/>
        <v>-0.37867695993611072</v>
      </c>
    </row>
    <row r="347" spans="1:36" x14ac:dyDescent="0.3">
      <c r="A347" s="10">
        <v>19100</v>
      </c>
      <c r="B347" s="44" t="s">
        <v>682</v>
      </c>
      <c r="C347" s="12">
        <f t="shared" si="347"/>
        <v>13</v>
      </c>
      <c r="D347" s="41" t="str">
        <f t="shared" si="348"/>
        <v>UN</v>
      </c>
      <c r="E347" s="41">
        <f>ROUND((X347*(1-$M$5))*(1+BDI!$C$21),2)</f>
        <v>41.72</v>
      </c>
      <c r="F347" s="41">
        <f>ROUND((Y347*(1-$N$5))*(1+BDI!$C$21),2)</f>
        <v>29.67</v>
      </c>
      <c r="G347" s="41">
        <f t="shared" si="349"/>
        <v>71.39</v>
      </c>
      <c r="H347" s="13">
        <f t="shared" si="342"/>
        <v>542.36</v>
      </c>
      <c r="I347" s="13">
        <f t="shared" si="343"/>
        <v>385.71000000000004</v>
      </c>
      <c r="J347" s="14">
        <f t="shared" si="344"/>
        <v>928.07</v>
      </c>
      <c r="M347" s="54"/>
      <c r="N347" s="56"/>
      <c r="V347" s="74">
        <v>13</v>
      </c>
      <c r="W347" s="74" t="s">
        <v>46</v>
      </c>
      <c r="X347" s="13">
        <v>52.12</v>
      </c>
      <c r="Y347" s="13">
        <v>37.07</v>
      </c>
      <c r="Z347" s="13">
        <f t="shared" si="350"/>
        <v>89.19</v>
      </c>
      <c r="AB347" s="74">
        <v>13</v>
      </c>
      <c r="AC347" s="74" t="s">
        <v>46</v>
      </c>
      <c r="AD347" s="13">
        <v>67.14</v>
      </c>
      <c r="AE347" s="13">
        <v>47.75</v>
      </c>
      <c r="AF347" s="13">
        <f t="shared" si="351"/>
        <v>114.89</v>
      </c>
      <c r="AH347" s="89">
        <f t="shared" ref="AH347:AH421" si="352">IF(E347=0,0,(E347/AD347)-1)</f>
        <v>-0.37861185582365209</v>
      </c>
      <c r="AI347" s="89">
        <f t="shared" si="340"/>
        <v>-0.37863874345549731</v>
      </c>
      <c r="AJ347" s="89">
        <f t="shared" si="341"/>
        <v>-0.37862303072504133</v>
      </c>
    </row>
    <row r="348" spans="1:36" x14ac:dyDescent="0.3">
      <c r="A348" s="10">
        <v>19101</v>
      </c>
      <c r="B348" s="44" t="s">
        <v>683</v>
      </c>
      <c r="C348" s="12">
        <f t="shared" si="347"/>
        <v>128</v>
      </c>
      <c r="D348" s="41" t="str">
        <f t="shared" si="348"/>
        <v>UN</v>
      </c>
      <c r="E348" s="41">
        <f>ROUND((X348*(1-$M$5))*(1+BDI!$C$21),2)</f>
        <v>59.19</v>
      </c>
      <c r="F348" s="41">
        <f>ROUND((Y348*(1-$N$5))*(1+BDI!$C$21),2)</f>
        <v>29.67</v>
      </c>
      <c r="G348" s="41">
        <f t="shared" si="349"/>
        <v>88.86</v>
      </c>
      <c r="H348" s="13">
        <f t="shared" si="342"/>
        <v>7576.32</v>
      </c>
      <c r="I348" s="13">
        <f t="shared" si="343"/>
        <v>3797.76</v>
      </c>
      <c r="J348" s="14">
        <f t="shared" si="344"/>
        <v>11374.08</v>
      </c>
      <c r="M348" s="54"/>
      <c r="N348" s="56"/>
      <c r="V348" s="74">
        <v>128</v>
      </c>
      <c r="W348" s="74" t="s">
        <v>46</v>
      </c>
      <c r="X348" s="13">
        <v>73.94</v>
      </c>
      <c r="Y348" s="13">
        <v>37.07</v>
      </c>
      <c r="Z348" s="13">
        <f t="shared" si="350"/>
        <v>111.00999999999999</v>
      </c>
      <c r="AB348" s="74">
        <v>128</v>
      </c>
      <c r="AC348" s="74" t="s">
        <v>46</v>
      </c>
      <c r="AD348" s="13">
        <v>95.25</v>
      </c>
      <c r="AE348" s="13">
        <v>47.75</v>
      </c>
      <c r="AF348" s="13">
        <f t="shared" si="351"/>
        <v>143</v>
      </c>
      <c r="AH348" s="89">
        <f t="shared" si="352"/>
        <v>-0.37858267716535432</v>
      </c>
      <c r="AI348" s="89">
        <f t="shared" ref="AI348:AI423" si="353">IF(F348=0,0,(F348/AE348)-1)</f>
        <v>-0.37863874345549731</v>
      </c>
      <c r="AJ348" s="89">
        <f t="shared" ref="AJ348:AJ423" si="354">IF(G348=0,0,(G348/AF348)-1)</f>
        <v>-0.37860139860139863</v>
      </c>
    </row>
    <row r="349" spans="1:36" x14ac:dyDescent="0.3">
      <c r="A349" s="10">
        <v>19102</v>
      </c>
      <c r="B349" s="44" t="s">
        <v>684</v>
      </c>
      <c r="C349" s="12">
        <f t="shared" si="347"/>
        <v>76</v>
      </c>
      <c r="D349" s="41" t="str">
        <f t="shared" si="348"/>
        <v>UN</v>
      </c>
      <c r="E349" s="41">
        <f>ROUND((X349*(1-$M$5))*(1+BDI!$C$21),2)</f>
        <v>602.12</v>
      </c>
      <c r="F349" s="41">
        <f>ROUND((Y349*(1-$N$5))*(1+BDI!$C$21),2)</f>
        <v>29.67</v>
      </c>
      <c r="G349" s="41">
        <f t="shared" si="349"/>
        <v>631.79</v>
      </c>
      <c r="H349" s="13">
        <f t="shared" si="342"/>
        <v>45761.120000000003</v>
      </c>
      <c r="I349" s="13">
        <f t="shared" si="343"/>
        <v>2254.92</v>
      </c>
      <c r="J349" s="14">
        <f t="shared" si="344"/>
        <v>48016.039999999994</v>
      </c>
      <c r="M349" s="54"/>
      <c r="N349" s="56"/>
      <c r="V349" s="74">
        <v>76</v>
      </c>
      <c r="W349" s="74" t="s">
        <v>46</v>
      </c>
      <c r="X349" s="13">
        <v>752.19</v>
      </c>
      <c r="Y349" s="13">
        <v>37.07</v>
      </c>
      <c r="Z349" s="13">
        <f t="shared" si="350"/>
        <v>789.2600000000001</v>
      </c>
      <c r="AB349" s="74">
        <v>76</v>
      </c>
      <c r="AC349" s="74" t="s">
        <v>46</v>
      </c>
      <c r="AD349" s="13">
        <v>968.97</v>
      </c>
      <c r="AE349" s="13">
        <v>47.75</v>
      </c>
      <c r="AF349" s="13">
        <f t="shared" si="351"/>
        <v>1016.72</v>
      </c>
      <c r="AH349" s="89">
        <f t="shared" si="352"/>
        <v>-0.37859789260761434</v>
      </c>
      <c r="AI349" s="89">
        <f t="shared" si="353"/>
        <v>-0.37863874345549731</v>
      </c>
      <c r="AJ349" s="89">
        <f t="shared" si="354"/>
        <v>-0.37859981115744756</v>
      </c>
    </row>
    <row r="350" spans="1:36" ht="28.8" x14ac:dyDescent="0.3">
      <c r="A350" s="10">
        <v>19103</v>
      </c>
      <c r="B350" s="44" t="s">
        <v>685</v>
      </c>
      <c r="C350" s="12">
        <f t="shared" si="347"/>
        <v>90</v>
      </c>
      <c r="D350" s="41" t="str">
        <f t="shared" si="348"/>
        <v>UN</v>
      </c>
      <c r="E350" s="41">
        <f>ROUND((X350*(1-$M$5))*(1+BDI!$C$21),2)</f>
        <v>180.77</v>
      </c>
      <c r="F350" s="41">
        <f>ROUND((Y350*(1-$N$5))*(1+BDI!$C$21),2)</f>
        <v>29.67</v>
      </c>
      <c r="G350" s="41">
        <f t="shared" si="349"/>
        <v>210.44</v>
      </c>
      <c r="H350" s="13">
        <f t="shared" si="342"/>
        <v>16269.300000000001</v>
      </c>
      <c r="I350" s="13">
        <f t="shared" si="343"/>
        <v>2670.3</v>
      </c>
      <c r="J350" s="14">
        <f t="shared" si="344"/>
        <v>18939.599999999999</v>
      </c>
      <c r="M350" s="54"/>
      <c r="N350" s="56"/>
      <c r="V350" s="74">
        <v>90</v>
      </c>
      <c r="W350" s="74" t="s">
        <v>46</v>
      </c>
      <c r="X350" s="13">
        <v>225.83</v>
      </c>
      <c r="Y350" s="13">
        <v>37.07</v>
      </c>
      <c r="Z350" s="13">
        <f t="shared" si="350"/>
        <v>262.90000000000003</v>
      </c>
      <c r="AB350" s="74">
        <v>90</v>
      </c>
      <c r="AC350" s="74" t="s">
        <v>46</v>
      </c>
      <c r="AD350" s="13">
        <v>290.91000000000003</v>
      </c>
      <c r="AE350" s="13">
        <v>47.75</v>
      </c>
      <c r="AF350" s="13">
        <f t="shared" si="351"/>
        <v>338.66</v>
      </c>
      <c r="AH350" s="89">
        <f t="shared" si="352"/>
        <v>-0.37860506685916606</v>
      </c>
      <c r="AI350" s="89">
        <f t="shared" si="353"/>
        <v>-0.37863874345549731</v>
      </c>
      <c r="AJ350" s="89">
        <f t="shared" si="354"/>
        <v>-0.37860981515384162</v>
      </c>
    </row>
    <row r="351" spans="1:36" x14ac:dyDescent="0.3">
      <c r="A351" s="10">
        <v>19104</v>
      </c>
      <c r="B351" s="44" t="s">
        <v>1046</v>
      </c>
      <c r="C351" s="12">
        <f t="shared" si="347"/>
        <v>104</v>
      </c>
      <c r="D351" s="41" t="str">
        <f t="shared" si="348"/>
        <v>UN</v>
      </c>
      <c r="E351" s="41">
        <f>ROUND((X351*(1-$M$5))*(1+BDI!$C$21),2)</f>
        <v>1357.59</v>
      </c>
      <c r="F351" s="41">
        <f>ROUND((Y351*(1-$N$5))*(1+BDI!$C$21),2)</f>
        <v>29.67</v>
      </c>
      <c r="G351" s="41">
        <f t="shared" si="349"/>
        <v>1387.26</v>
      </c>
      <c r="H351" s="13">
        <f t="shared" si="342"/>
        <v>141189.35999999999</v>
      </c>
      <c r="I351" s="13">
        <f t="shared" si="343"/>
        <v>3085.6800000000003</v>
      </c>
      <c r="J351" s="14">
        <f t="shared" si="344"/>
        <v>144275.04</v>
      </c>
      <c r="M351" s="54"/>
      <c r="N351" s="56"/>
      <c r="V351" s="74">
        <v>104</v>
      </c>
      <c r="W351" s="74" t="s">
        <v>46</v>
      </c>
      <c r="X351" s="13">
        <v>1695.96</v>
      </c>
      <c r="Y351" s="13">
        <v>37.07</v>
      </c>
      <c r="Z351" s="13">
        <f t="shared" si="350"/>
        <v>1733.03</v>
      </c>
      <c r="AB351" s="74">
        <v>104</v>
      </c>
      <c r="AC351" s="74" t="s">
        <v>46</v>
      </c>
      <c r="AD351" s="13">
        <v>2184.7399999999998</v>
      </c>
      <c r="AE351" s="13">
        <v>47.75</v>
      </c>
      <c r="AF351" s="13">
        <f t="shared" si="351"/>
        <v>2232.4899999999998</v>
      </c>
      <c r="AH351" s="89">
        <f t="shared" si="352"/>
        <v>-0.3786034036086674</v>
      </c>
      <c r="AI351" s="89">
        <f t="shared" si="353"/>
        <v>-0.37863874345549731</v>
      </c>
      <c r="AJ351" s="89">
        <f t="shared" si="354"/>
        <v>-0.37860415948111747</v>
      </c>
    </row>
    <row r="352" spans="1:36" x14ac:dyDescent="0.3">
      <c r="A352" s="10">
        <v>19105</v>
      </c>
      <c r="B352" s="44" t="s">
        <v>686</v>
      </c>
      <c r="C352" s="12">
        <f t="shared" si="347"/>
        <v>21</v>
      </c>
      <c r="D352" s="41" t="str">
        <f t="shared" si="348"/>
        <v>UN</v>
      </c>
      <c r="E352" s="41">
        <f>ROUND((X352*(1-$M$5))*(1+BDI!$C$21),2)</f>
        <v>242.43</v>
      </c>
      <c r="F352" s="41">
        <f>ROUND((Y352*(1-$N$5))*(1+BDI!$C$21),2)</f>
        <v>29.67</v>
      </c>
      <c r="G352" s="41">
        <f t="shared" si="349"/>
        <v>272.10000000000002</v>
      </c>
      <c r="H352" s="13">
        <f t="shared" si="342"/>
        <v>5091.03</v>
      </c>
      <c r="I352" s="13">
        <f t="shared" si="343"/>
        <v>623.07000000000005</v>
      </c>
      <c r="J352" s="14">
        <f t="shared" si="344"/>
        <v>5714.1</v>
      </c>
      <c r="M352" s="54"/>
      <c r="N352" s="56"/>
      <c r="V352" s="74">
        <v>21</v>
      </c>
      <c r="W352" s="74" t="s">
        <v>46</v>
      </c>
      <c r="X352" s="13">
        <v>302.85000000000002</v>
      </c>
      <c r="Y352" s="13">
        <v>37.07</v>
      </c>
      <c r="Z352" s="13">
        <f t="shared" si="350"/>
        <v>339.92</v>
      </c>
      <c r="AB352" s="74">
        <v>21</v>
      </c>
      <c r="AC352" s="74" t="s">
        <v>46</v>
      </c>
      <c r="AD352" s="13">
        <v>390.13</v>
      </c>
      <c r="AE352" s="13">
        <v>47.75</v>
      </c>
      <c r="AF352" s="13">
        <f t="shared" si="351"/>
        <v>437.88</v>
      </c>
      <c r="AH352" s="89">
        <f t="shared" si="352"/>
        <v>-0.37859175146745949</v>
      </c>
      <c r="AI352" s="89">
        <f t="shared" si="353"/>
        <v>-0.37863874345549731</v>
      </c>
      <c r="AJ352" s="89">
        <f t="shared" si="354"/>
        <v>-0.37859687585639901</v>
      </c>
    </row>
    <row r="353" spans="1:36" x14ac:dyDescent="0.3">
      <c r="A353" s="10">
        <v>19106</v>
      </c>
      <c r="B353" s="44" t="s">
        <v>687</v>
      </c>
      <c r="C353" s="12">
        <f t="shared" si="347"/>
        <v>8</v>
      </c>
      <c r="D353" s="41" t="str">
        <f t="shared" si="348"/>
        <v>m</v>
      </c>
      <c r="E353" s="41">
        <f>ROUND((X353*(1-$M$5))*(1+BDI!$C$21),2)</f>
        <v>2.31</v>
      </c>
      <c r="F353" s="41">
        <f>ROUND((Y353*(1-$N$5))*(1+BDI!$C$21),2)</f>
        <v>4.5599999999999996</v>
      </c>
      <c r="G353" s="41">
        <f t="shared" si="349"/>
        <v>6.8699999999999992</v>
      </c>
      <c r="H353" s="13">
        <f t="shared" si="342"/>
        <v>18.48</v>
      </c>
      <c r="I353" s="13">
        <f t="shared" si="343"/>
        <v>36.479999999999997</v>
      </c>
      <c r="J353" s="14">
        <f t="shared" si="344"/>
        <v>54.959999999999994</v>
      </c>
      <c r="M353" s="54"/>
      <c r="N353" s="56"/>
      <c r="V353" s="74">
        <v>8</v>
      </c>
      <c r="W353" s="74" t="s">
        <v>75</v>
      </c>
      <c r="X353" s="13">
        <v>2.88</v>
      </c>
      <c r="Y353" s="13">
        <v>5.7</v>
      </c>
      <c r="Z353" s="13">
        <f t="shared" si="350"/>
        <v>8.58</v>
      </c>
      <c r="AB353" s="74">
        <v>8</v>
      </c>
      <c r="AC353" s="74" t="s">
        <v>75</v>
      </c>
      <c r="AD353" s="13">
        <v>3.71</v>
      </c>
      <c r="AE353" s="13">
        <v>7.34</v>
      </c>
      <c r="AF353" s="13">
        <f t="shared" si="351"/>
        <v>11.05</v>
      </c>
      <c r="AH353" s="89">
        <f t="shared" si="352"/>
        <v>-0.37735849056603776</v>
      </c>
      <c r="AI353" s="89">
        <f t="shared" si="353"/>
        <v>-0.37874659400544963</v>
      </c>
      <c r="AJ353" s="89">
        <f t="shared" si="354"/>
        <v>-0.37828054298642544</v>
      </c>
    </row>
    <row r="354" spans="1:36" x14ac:dyDescent="0.3">
      <c r="A354" s="10">
        <v>19107</v>
      </c>
      <c r="B354" s="44" t="s">
        <v>688</v>
      </c>
      <c r="C354" s="12">
        <f t="shared" si="347"/>
        <v>40</v>
      </c>
      <c r="D354" s="41" t="str">
        <f t="shared" si="348"/>
        <v>UN</v>
      </c>
      <c r="E354" s="41">
        <f>ROUND((X354*(1-$M$5))*(1+BDI!$C$21),2)</f>
        <v>2.71</v>
      </c>
      <c r="F354" s="41">
        <f>ROUND((Y354*(1-$N$5))*(1+BDI!$C$21),2)</f>
        <v>53.95</v>
      </c>
      <c r="G354" s="41">
        <f t="shared" si="349"/>
        <v>56.660000000000004</v>
      </c>
      <c r="H354" s="13">
        <f t="shared" si="342"/>
        <v>108.4</v>
      </c>
      <c r="I354" s="13">
        <f t="shared" si="343"/>
        <v>2158</v>
      </c>
      <c r="J354" s="14">
        <f t="shared" si="344"/>
        <v>2266.4</v>
      </c>
      <c r="M354" s="54"/>
      <c r="N354" s="56"/>
      <c r="V354" s="74">
        <v>40</v>
      </c>
      <c r="W354" s="74" t="s">
        <v>46</v>
      </c>
      <c r="X354" s="13">
        <v>3.38</v>
      </c>
      <c r="Y354" s="13">
        <v>67.400000000000006</v>
      </c>
      <c r="Z354" s="13">
        <f t="shared" si="350"/>
        <v>70.78</v>
      </c>
      <c r="AB354" s="74">
        <v>40</v>
      </c>
      <c r="AC354" s="74" t="s">
        <v>46</v>
      </c>
      <c r="AD354" s="13">
        <v>4.3499999999999996</v>
      </c>
      <c r="AE354" s="13">
        <v>86.82</v>
      </c>
      <c r="AF354" s="13">
        <f t="shared" si="351"/>
        <v>91.169999999999987</v>
      </c>
      <c r="AH354" s="89">
        <f t="shared" si="352"/>
        <v>-0.3770114942528735</v>
      </c>
      <c r="AI354" s="89">
        <f t="shared" si="353"/>
        <v>-0.37859940105966361</v>
      </c>
      <c r="AJ354" s="89">
        <f t="shared" si="354"/>
        <v>-0.37852363716134685</v>
      </c>
    </row>
    <row r="355" spans="1:36" x14ac:dyDescent="0.3">
      <c r="A355" s="10">
        <v>19108</v>
      </c>
      <c r="B355" s="44" t="s">
        <v>689</v>
      </c>
      <c r="C355" s="12">
        <f t="shared" si="347"/>
        <v>1</v>
      </c>
      <c r="D355" s="41" t="str">
        <f t="shared" si="348"/>
        <v>UN</v>
      </c>
      <c r="E355" s="41">
        <f>ROUND((X355*(1-$M$5))*(1+BDI!$C$21),2)</f>
        <v>107.89</v>
      </c>
      <c r="F355" s="41">
        <f>ROUND((Y355*(1-$N$5))*(1+BDI!$C$21),2)</f>
        <v>242.79</v>
      </c>
      <c r="G355" s="41">
        <f t="shared" si="349"/>
        <v>350.68</v>
      </c>
      <c r="H355" s="13">
        <f t="shared" si="342"/>
        <v>107.89</v>
      </c>
      <c r="I355" s="13">
        <f t="shared" si="343"/>
        <v>242.79</v>
      </c>
      <c r="J355" s="14">
        <f t="shared" si="344"/>
        <v>350.68</v>
      </c>
      <c r="M355" s="54"/>
      <c r="N355" s="56"/>
      <c r="V355" s="74">
        <v>1</v>
      </c>
      <c r="W355" s="74" t="s">
        <v>46</v>
      </c>
      <c r="X355" s="13">
        <v>134.78</v>
      </c>
      <c r="Y355" s="13">
        <v>303.3</v>
      </c>
      <c r="Z355" s="13">
        <f t="shared" si="350"/>
        <v>438.08000000000004</v>
      </c>
      <c r="AB355" s="74">
        <v>1</v>
      </c>
      <c r="AC355" s="74" t="s">
        <v>46</v>
      </c>
      <c r="AD355" s="13">
        <v>173.62</v>
      </c>
      <c r="AE355" s="13">
        <v>390.71</v>
      </c>
      <c r="AF355" s="13">
        <f t="shared" si="351"/>
        <v>564.32999999999993</v>
      </c>
      <c r="AH355" s="89">
        <f t="shared" si="352"/>
        <v>-0.37858541642667898</v>
      </c>
      <c r="AI355" s="89">
        <f t="shared" si="353"/>
        <v>-0.37859281820275903</v>
      </c>
      <c r="AJ355" s="89">
        <f t="shared" si="354"/>
        <v>-0.3785905409955167</v>
      </c>
    </row>
    <row r="356" spans="1:36" x14ac:dyDescent="0.3">
      <c r="A356" s="10">
        <v>19109</v>
      </c>
      <c r="B356" s="44" t="s">
        <v>690</v>
      </c>
      <c r="C356" s="12">
        <f t="shared" si="347"/>
        <v>3</v>
      </c>
      <c r="D356" s="41" t="str">
        <f t="shared" si="348"/>
        <v>UN</v>
      </c>
      <c r="E356" s="41">
        <f>ROUND((X356*(1-$M$5))*(1+BDI!$C$21),2)</f>
        <v>304.55</v>
      </c>
      <c r="F356" s="41">
        <f>ROUND((Y356*(1-$N$5))*(1+BDI!$C$21),2)</f>
        <v>116.9</v>
      </c>
      <c r="G356" s="41">
        <f t="shared" si="349"/>
        <v>421.45000000000005</v>
      </c>
      <c r="H356" s="13">
        <f t="shared" si="342"/>
        <v>913.65000000000009</v>
      </c>
      <c r="I356" s="13">
        <f t="shared" si="343"/>
        <v>350.70000000000005</v>
      </c>
      <c r="J356" s="14">
        <f t="shared" si="344"/>
        <v>1264.3500000000001</v>
      </c>
      <c r="M356" s="54"/>
      <c r="N356" s="56"/>
      <c r="V356" s="74">
        <v>3</v>
      </c>
      <c r="W356" s="74" t="s">
        <v>46</v>
      </c>
      <c r="X356" s="13">
        <v>380.45</v>
      </c>
      <c r="Y356" s="13">
        <v>146.03</v>
      </c>
      <c r="Z356" s="13">
        <f t="shared" si="350"/>
        <v>526.48</v>
      </c>
      <c r="AB356" s="74">
        <v>3</v>
      </c>
      <c r="AC356" s="74" t="s">
        <v>46</v>
      </c>
      <c r="AD356" s="13">
        <v>490.1</v>
      </c>
      <c r="AE356" s="13">
        <v>188.12</v>
      </c>
      <c r="AF356" s="13">
        <f t="shared" si="351"/>
        <v>678.22</v>
      </c>
      <c r="AH356" s="89">
        <f t="shared" si="352"/>
        <v>-0.37859620485615186</v>
      </c>
      <c r="AI356" s="89">
        <f t="shared" si="353"/>
        <v>-0.37858813523283008</v>
      </c>
      <c r="AJ356" s="89">
        <f t="shared" si="354"/>
        <v>-0.37859396655952338</v>
      </c>
    </row>
    <row r="357" spans="1:36" x14ac:dyDescent="0.3">
      <c r="A357" s="10">
        <v>19110</v>
      </c>
      <c r="B357" s="44" t="s">
        <v>691</v>
      </c>
      <c r="C357" s="12">
        <f t="shared" si="347"/>
        <v>72</v>
      </c>
      <c r="D357" s="41" t="str">
        <f t="shared" si="348"/>
        <v>UN</v>
      </c>
      <c r="E357" s="41">
        <f>ROUND((X357*(1-$M$5))*(1+BDI!$C$21),2)</f>
        <v>81.12</v>
      </c>
      <c r="F357" s="41">
        <f>ROUND((Y357*(1-$N$5))*(1+BDI!$C$21),2)</f>
        <v>308.51</v>
      </c>
      <c r="G357" s="41">
        <f t="shared" si="349"/>
        <v>389.63</v>
      </c>
      <c r="H357" s="13">
        <f t="shared" si="342"/>
        <v>5840.64</v>
      </c>
      <c r="I357" s="13">
        <f t="shared" si="343"/>
        <v>22212.720000000001</v>
      </c>
      <c r="J357" s="14">
        <f t="shared" si="344"/>
        <v>28053.360000000001</v>
      </c>
      <c r="M357" s="54"/>
      <c r="N357" s="56"/>
      <c r="V357" s="74">
        <v>72</v>
      </c>
      <c r="W357" s="74" t="s">
        <v>46</v>
      </c>
      <c r="X357" s="13">
        <v>101.34</v>
      </c>
      <c r="Y357" s="13">
        <v>385.4</v>
      </c>
      <c r="Z357" s="13">
        <f t="shared" si="350"/>
        <v>486.74</v>
      </c>
      <c r="AB357" s="74">
        <v>72</v>
      </c>
      <c r="AC357" s="74" t="s">
        <v>46</v>
      </c>
      <c r="AD357" s="13">
        <v>130.55000000000001</v>
      </c>
      <c r="AE357" s="13">
        <v>496.47</v>
      </c>
      <c r="AF357" s="13">
        <f t="shared" si="351"/>
        <v>627.02</v>
      </c>
      <c r="AH357" s="89">
        <f t="shared" si="352"/>
        <v>-0.37862887782458832</v>
      </c>
      <c r="AI357" s="89">
        <f t="shared" si="353"/>
        <v>-0.37859286563135741</v>
      </c>
      <c r="AJ357" s="89">
        <f t="shared" si="354"/>
        <v>-0.37860036362476479</v>
      </c>
    </row>
    <row r="358" spans="1:36" x14ac:dyDescent="0.3">
      <c r="A358" s="10">
        <v>19111</v>
      </c>
      <c r="B358" s="44" t="s">
        <v>692</v>
      </c>
      <c r="C358" s="12">
        <f t="shared" si="347"/>
        <v>27</v>
      </c>
      <c r="D358" s="41" t="str">
        <f t="shared" si="348"/>
        <v>UN</v>
      </c>
      <c r="E358" s="41">
        <f>ROUND((X358*(1-$M$5))*(1+BDI!$C$21),2)</f>
        <v>385.48</v>
      </c>
      <c r="F358" s="41">
        <f>ROUND((Y358*(1-$N$5))*(1+BDI!$C$21),2)</f>
        <v>107.91</v>
      </c>
      <c r="G358" s="41">
        <f t="shared" si="349"/>
        <v>493.39</v>
      </c>
      <c r="H358" s="13">
        <f t="shared" si="342"/>
        <v>10407.960000000001</v>
      </c>
      <c r="I358" s="13">
        <f t="shared" si="343"/>
        <v>2913.5699999999997</v>
      </c>
      <c r="J358" s="14">
        <f t="shared" si="344"/>
        <v>13321.529999999999</v>
      </c>
      <c r="M358" s="54"/>
      <c r="N358" s="56"/>
      <c r="V358" s="74">
        <v>27</v>
      </c>
      <c r="W358" s="74" t="s">
        <v>46</v>
      </c>
      <c r="X358" s="13">
        <v>481.56</v>
      </c>
      <c r="Y358" s="13">
        <v>134.80000000000001</v>
      </c>
      <c r="Z358" s="13">
        <f t="shared" si="350"/>
        <v>616.36</v>
      </c>
      <c r="AB358" s="74">
        <v>27</v>
      </c>
      <c r="AC358" s="74" t="s">
        <v>46</v>
      </c>
      <c r="AD358" s="13">
        <v>620.35</v>
      </c>
      <c r="AE358" s="13">
        <v>173.65</v>
      </c>
      <c r="AF358" s="13">
        <f t="shared" si="351"/>
        <v>794</v>
      </c>
      <c r="AH358" s="89">
        <f t="shared" si="352"/>
        <v>-0.37860884984283061</v>
      </c>
      <c r="AI358" s="89">
        <f t="shared" si="353"/>
        <v>-0.37857759861790963</v>
      </c>
      <c r="AJ358" s="89">
        <f t="shared" si="354"/>
        <v>-0.37860201511335012</v>
      </c>
    </row>
    <row r="359" spans="1:36" x14ac:dyDescent="0.3">
      <c r="A359" s="10">
        <v>19112</v>
      </c>
      <c r="B359" s="44" t="s">
        <v>693</v>
      </c>
      <c r="C359" s="12">
        <f t="shared" si="347"/>
        <v>1</v>
      </c>
      <c r="D359" s="41" t="str">
        <f t="shared" si="348"/>
        <v>UN</v>
      </c>
      <c r="E359" s="41">
        <f>ROUND((X359*(1-$M$5))*(1+BDI!$C$21),2)</f>
        <v>900</v>
      </c>
      <c r="F359" s="41">
        <f>ROUND((Y359*(1-$N$5))*(1+BDI!$C$21),2)</f>
        <v>329.11</v>
      </c>
      <c r="G359" s="41">
        <f t="shared" si="349"/>
        <v>1229.1100000000001</v>
      </c>
      <c r="H359" s="13">
        <f t="shared" si="342"/>
        <v>900</v>
      </c>
      <c r="I359" s="13">
        <f t="shared" si="343"/>
        <v>329.11</v>
      </c>
      <c r="J359" s="14">
        <f t="shared" si="344"/>
        <v>1229.1100000000001</v>
      </c>
      <c r="M359" s="54"/>
      <c r="N359" s="56"/>
      <c r="V359" s="74">
        <v>1</v>
      </c>
      <c r="W359" s="74" t="s">
        <v>46</v>
      </c>
      <c r="X359" s="13">
        <v>1124.32</v>
      </c>
      <c r="Y359" s="13">
        <v>411.14</v>
      </c>
      <c r="Z359" s="13">
        <f t="shared" si="350"/>
        <v>1535.46</v>
      </c>
      <c r="AB359" s="74">
        <v>1</v>
      </c>
      <c r="AC359" s="74" t="s">
        <v>46</v>
      </c>
      <c r="AD359" s="13">
        <v>1448.35</v>
      </c>
      <c r="AE359" s="13">
        <v>529.63</v>
      </c>
      <c r="AF359" s="13">
        <f t="shared" si="351"/>
        <v>1977.98</v>
      </c>
      <c r="AH359" s="89">
        <f t="shared" si="352"/>
        <v>-0.37860323816756991</v>
      </c>
      <c r="AI359" s="89">
        <f t="shared" si="353"/>
        <v>-0.37860393104620205</v>
      </c>
      <c r="AJ359" s="89">
        <f t="shared" si="354"/>
        <v>-0.37860342369488054</v>
      </c>
    </row>
    <row r="360" spans="1:36" x14ac:dyDescent="0.3">
      <c r="A360" s="10">
        <v>19113</v>
      </c>
      <c r="B360" s="44" t="s">
        <v>694</v>
      </c>
      <c r="C360" s="12">
        <f t="shared" si="347"/>
        <v>3</v>
      </c>
      <c r="D360" s="41" t="str">
        <f t="shared" si="348"/>
        <v>UN</v>
      </c>
      <c r="E360" s="41">
        <f>ROUND((X360*(1-$M$5))*(1+BDI!$C$21),2)</f>
        <v>1365.54</v>
      </c>
      <c r="F360" s="41">
        <f>ROUND((Y360*(1-$N$5))*(1+BDI!$C$21),2)</f>
        <v>329.11</v>
      </c>
      <c r="G360" s="41">
        <f t="shared" si="349"/>
        <v>1694.65</v>
      </c>
      <c r="H360" s="13">
        <f t="shared" si="342"/>
        <v>4096.62</v>
      </c>
      <c r="I360" s="13">
        <f t="shared" si="343"/>
        <v>987.33</v>
      </c>
      <c r="J360" s="14">
        <f t="shared" si="344"/>
        <v>5083.9500000000007</v>
      </c>
      <c r="M360" s="54"/>
      <c r="N360" s="56"/>
      <c r="V360" s="74">
        <v>3</v>
      </c>
      <c r="W360" s="74" t="s">
        <v>46</v>
      </c>
      <c r="X360" s="13">
        <v>1705.89</v>
      </c>
      <c r="Y360" s="13">
        <v>411.14</v>
      </c>
      <c r="Z360" s="13">
        <f t="shared" si="350"/>
        <v>2117.0300000000002</v>
      </c>
      <c r="AB360" s="74">
        <v>3</v>
      </c>
      <c r="AC360" s="74" t="s">
        <v>46</v>
      </c>
      <c r="AD360" s="13">
        <v>2197.5300000000002</v>
      </c>
      <c r="AE360" s="13">
        <v>529.63</v>
      </c>
      <c r="AF360" s="13">
        <f t="shared" si="351"/>
        <v>2727.1600000000003</v>
      </c>
      <c r="AH360" s="89">
        <f t="shared" si="352"/>
        <v>-0.37860233989979664</v>
      </c>
      <c r="AI360" s="89">
        <f t="shared" si="353"/>
        <v>-0.37860393104620205</v>
      </c>
      <c r="AJ360" s="89">
        <f t="shared" si="354"/>
        <v>-0.37860264890948825</v>
      </c>
    </row>
    <row r="361" spans="1:36" x14ac:dyDescent="0.3">
      <c r="A361" s="10">
        <v>19114</v>
      </c>
      <c r="B361" s="44" t="s">
        <v>695</v>
      </c>
      <c r="C361" s="12">
        <f t="shared" si="347"/>
        <v>7</v>
      </c>
      <c r="D361" s="41" t="str">
        <f t="shared" si="348"/>
        <v>UN</v>
      </c>
      <c r="E361" s="41">
        <f>ROUND((X361*(1-$M$5))*(1+BDI!$C$21),2)</f>
        <v>1474.79</v>
      </c>
      <c r="F361" s="41">
        <f>ROUND((Y361*(1-$N$5))*(1+BDI!$C$21),2)</f>
        <v>329.11</v>
      </c>
      <c r="G361" s="41">
        <f t="shared" si="349"/>
        <v>1803.9</v>
      </c>
      <c r="H361" s="13">
        <f t="shared" si="342"/>
        <v>10323.529999999999</v>
      </c>
      <c r="I361" s="13">
        <f t="shared" si="343"/>
        <v>2303.77</v>
      </c>
      <c r="J361" s="14">
        <f t="shared" si="344"/>
        <v>12627.300000000001</v>
      </c>
      <c r="M361" s="54"/>
      <c r="N361" s="56"/>
      <c r="V361" s="74">
        <v>7</v>
      </c>
      <c r="W361" s="74" t="s">
        <v>46</v>
      </c>
      <c r="X361" s="13">
        <v>1842.36</v>
      </c>
      <c r="Y361" s="13">
        <v>411.14</v>
      </c>
      <c r="Z361" s="13">
        <f t="shared" si="350"/>
        <v>2253.5</v>
      </c>
      <c r="AB361" s="74">
        <v>7</v>
      </c>
      <c r="AC361" s="74" t="s">
        <v>46</v>
      </c>
      <c r="AD361" s="13">
        <v>2373.33</v>
      </c>
      <c r="AE361" s="13">
        <v>529.63</v>
      </c>
      <c r="AF361" s="13">
        <f t="shared" si="351"/>
        <v>2902.96</v>
      </c>
      <c r="AH361" s="89">
        <f t="shared" si="352"/>
        <v>-0.37859884634669427</v>
      </c>
      <c r="AI361" s="89">
        <f t="shared" si="353"/>
        <v>-0.37860393104620205</v>
      </c>
      <c r="AJ361" s="89">
        <f t="shared" si="354"/>
        <v>-0.378599774023755</v>
      </c>
    </row>
    <row r="362" spans="1:36" x14ac:dyDescent="0.3">
      <c r="A362" s="10">
        <v>19115</v>
      </c>
      <c r="B362" s="44" t="s">
        <v>696</v>
      </c>
      <c r="C362" s="12">
        <f t="shared" si="347"/>
        <v>5</v>
      </c>
      <c r="D362" s="41" t="str">
        <f t="shared" si="348"/>
        <v>UN</v>
      </c>
      <c r="E362" s="41">
        <f>ROUND((X362*(1-$M$5))*(1+BDI!$C$21),2)</f>
        <v>17.11</v>
      </c>
      <c r="F362" s="41">
        <f>ROUND((Y362*(1-$N$5))*(1+BDI!$C$21),2)</f>
        <v>48.56</v>
      </c>
      <c r="G362" s="41">
        <f t="shared" si="349"/>
        <v>65.67</v>
      </c>
      <c r="H362" s="13">
        <f t="shared" si="342"/>
        <v>85.55</v>
      </c>
      <c r="I362" s="13">
        <f t="shared" si="343"/>
        <v>242.8</v>
      </c>
      <c r="J362" s="14">
        <f t="shared" si="344"/>
        <v>328.35</v>
      </c>
      <c r="M362" s="54"/>
      <c r="N362" s="56"/>
      <c r="V362" s="74">
        <v>5</v>
      </c>
      <c r="W362" s="74" t="s">
        <v>46</v>
      </c>
      <c r="X362" s="13">
        <v>21.38</v>
      </c>
      <c r="Y362" s="13">
        <v>60.66</v>
      </c>
      <c r="Z362" s="13">
        <f t="shared" si="350"/>
        <v>82.039999999999992</v>
      </c>
      <c r="AB362" s="74">
        <v>5</v>
      </c>
      <c r="AC362" s="74" t="s">
        <v>46</v>
      </c>
      <c r="AD362" s="13">
        <v>27.54</v>
      </c>
      <c r="AE362" s="13">
        <v>78.14</v>
      </c>
      <c r="AF362" s="13">
        <f t="shared" si="351"/>
        <v>105.68</v>
      </c>
      <c r="AH362" s="89">
        <f t="shared" si="352"/>
        <v>-0.37872185911401601</v>
      </c>
      <c r="AI362" s="89">
        <f t="shared" si="353"/>
        <v>-0.37855131814691578</v>
      </c>
      <c r="AJ362" s="89">
        <f t="shared" si="354"/>
        <v>-0.37859576078728241</v>
      </c>
    </row>
    <row r="363" spans="1:36" x14ac:dyDescent="0.3">
      <c r="A363" s="10">
        <v>19116</v>
      </c>
      <c r="B363" s="44" t="s">
        <v>697</v>
      </c>
      <c r="C363" s="12">
        <f t="shared" si="347"/>
        <v>1</v>
      </c>
      <c r="D363" s="41" t="str">
        <f t="shared" si="348"/>
        <v>m</v>
      </c>
      <c r="E363" s="41">
        <f>ROUND((X363*(1-$M$5))*(1+BDI!$C$21),2)</f>
        <v>5.57</v>
      </c>
      <c r="F363" s="41">
        <f>ROUND((Y363*(1-$N$5))*(1+BDI!$C$21),2)</f>
        <v>4.96</v>
      </c>
      <c r="G363" s="41">
        <f t="shared" si="349"/>
        <v>10.530000000000001</v>
      </c>
      <c r="H363" s="13">
        <f t="shared" si="342"/>
        <v>5.57</v>
      </c>
      <c r="I363" s="13">
        <f t="shared" si="343"/>
        <v>4.96</v>
      </c>
      <c r="J363" s="14">
        <f t="shared" si="344"/>
        <v>10.530000000000001</v>
      </c>
      <c r="M363" s="54"/>
      <c r="N363" s="56"/>
      <c r="V363" s="74">
        <v>1</v>
      </c>
      <c r="W363" s="74" t="s">
        <v>75</v>
      </c>
      <c r="X363" s="13">
        <v>6.96</v>
      </c>
      <c r="Y363" s="13">
        <v>6.19</v>
      </c>
      <c r="Z363" s="13">
        <f t="shared" si="350"/>
        <v>13.15</v>
      </c>
      <c r="AB363" s="74">
        <v>1</v>
      </c>
      <c r="AC363" s="74" t="s">
        <v>75</v>
      </c>
      <c r="AD363" s="13">
        <v>8.9700000000000006</v>
      </c>
      <c r="AE363" s="13">
        <v>7.97</v>
      </c>
      <c r="AF363" s="13">
        <f t="shared" si="351"/>
        <v>16.940000000000001</v>
      </c>
      <c r="AH363" s="89">
        <f t="shared" si="352"/>
        <v>-0.37904124860646604</v>
      </c>
      <c r="AI363" s="89">
        <f t="shared" si="353"/>
        <v>-0.37766624843161856</v>
      </c>
      <c r="AJ363" s="89">
        <f t="shared" si="354"/>
        <v>-0.37839433293978741</v>
      </c>
    </row>
    <row r="364" spans="1:36" x14ac:dyDescent="0.3">
      <c r="A364" s="10">
        <v>19117</v>
      </c>
      <c r="B364" s="44" t="s">
        <v>698</v>
      </c>
      <c r="C364" s="12">
        <f t="shared" si="347"/>
        <v>41</v>
      </c>
      <c r="D364" s="41" t="str">
        <f t="shared" si="348"/>
        <v>m</v>
      </c>
      <c r="E364" s="41">
        <f>ROUND((X364*(1-$M$5))*(1+BDI!$C$21),2)</f>
        <v>10.58</v>
      </c>
      <c r="F364" s="41">
        <f>ROUND((Y364*(1-$N$5))*(1+BDI!$C$21),2)</f>
        <v>5.62</v>
      </c>
      <c r="G364" s="41">
        <f t="shared" si="349"/>
        <v>16.2</v>
      </c>
      <c r="H364" s="13">
        <f t="shared" si="342"/>
        <v>433.78000000000003</v>
      </c>
      <c r="I364" s="13">
        <f t="shared" si="343"/>
        <v>230.42000000000002</v>
      </c>
      <c r="J364" s="14">
        <f t="shared" si="344"/>
        <v>664.19999999999993</v>
      </c>
      <c r="M364" s="54"/>
      <c r="N364" s="56"/>
      <c r="V364" s="74">
        <v>41</v>
      </c>
      <c r="W364" s="74" t="s">
        <v>75</v>
      </c>
      <c r="X364" s="13">
        <v>13.22</v>
      </c>
      <c r="Y364" s="13">
        <v>7.02</v>
      </c>
      <c r="Z364" s="13">
        <f t="shared" si="350"/>
        <v>20.240000000000002</v>
      </c>
      <c r="AB364" s="74">
        <v>41</v>
      </c>
      <c r="AC364" s="74" t="s">
        <v>75</v>
      </c>
      <c r="AD364" s="13">
        <v>17.03</v>
      </c>
      <c r="AE364" s="13">
        <v>9.0399999999999991</v>
      </c>
      <c r="AF364" s="13">
        <f t="shared" si="351"/>
        <v>26.07</v>
      </c>
      <c r="AH364" s="89">
        <f t="shared" si="352"/>
        <v>-0.37874339401056967</v>
      </c>
      <c r="AI364" s="89">
        <f t="shared" si="353"/>
        <v>-0.37831858407079644</v>
      </c>
      <c r="AJ364" s="89">
        <f t="shared" si="354"/>
        <v>-0.37859608745684703</v>
      </c>
    </row>
    <row r="365" spans="1:36" x14ac:dyDescent="0.3">
      <c r="A365" s="10">
        <v>19118</v>
      </c>
      <c r="B365" s="44" t="s">
        <v>699</v>
      </c>
      <c r="C365" s="12">
        <f t="shared" si="347"/>
        <v>4</v>
      </c>
      <c r="D365" s="41" t="str">
        <f t="shared" si="348"/>
        <v>m</v>
      </c>
      <c r="E365" s="41">
        <f>ROUND((X365*(1-$M$5))*(1+BDI!$C$21),2)</f>
        <v>15.48</v>
      </c>
      <c r="F365" s="41">
        <f>ROUND((Y365*(1-$N$5))*(1+BDI!$C$21),2)</f>
        <v>6.16</v>
      </c>
      <c r="G365" s="41">
        <f t="shared" si="349"/>
        <v>21.64</v>
      </c>
      <c r="H365" s="13">
        <f t="shared" si="342"/>
        <v>61.92</v>
      </c>
      <c r="I365" s="13">
        <f t="shared" si="343"/>
        <v>24.64</v>
      </c>
      <c r="J365" s="14">
        <f t="shared" si="344"/>
        <v>86.56</v>
      </c>
      <c r="M365" s="54"/>
      <c r="N365" s="56"/>
      <c r="V365" s="74">
        <v>4</v>
      </c>
      <c r="W365" s="74" t="s">
        <v>75</v>
      </c>
      <c r="X365" s="13">
        <v>19.34</v>
      </c>
      <c r="Y365" s="13">
        <v>7.7</v>
      </c>
      <c r="Z365" s="13">
        <f t="shared" si="350"/>
        <v>27.04</v>
      </c>
      <c r="AB365" s="74">
        <v>4</v>
      </c>
      <c r="AC365" s="74" t="s">
        <v>75</v>
      </c>
      <c r="AD365" s="13">
        <v>24.91</v>
      </c>
      <c r="AE365" s="13">
        <v>9.92</v>
      </c>
      <c r="AF365" s="13">
        <f t="shared" si="351"/>
        <v>34.83</v>
      </c>
      <c r="AH365" s="89">
        <f t="shared" si="352"/>
        <v>-0.37856282617422721</v>
      </c>
      <c r="AI365" s="89">
        <f t="shared" si="353"/>
        <v>-0.37903225806451613</v>
      </c>
      <c r="AJ365" s="89">
        <f t="shared" si="354"/>
        <v>-0.37869652598334769</v>
      </c>
    </row>
    <row r="366" spans="1:36" x14ac:dyDescent="0.3">
      <c r="A366" s="10">
        <v>19119</v>
      </c>
      <c r="B366" s="44" t="s">
        <v>700</v>
      </c>
      <c r="C366" s="12">
        <f t="shared" si="347"/>
        <v>76</v>
      </c>
      <c r="D366" s="41" t="str">
        <f t="shared" si="348"/>
        <v>UN</v>
      </c>
      <c r="E366" s="41">
        <f>ROUND((X366*(1-$M$5))*(1+BDI!$C$21),2)</f>
        <v>0</v>
      </c>
      <c r="F366" s="41">
        <f>ROUND((Y366*(1-$N$5))*(1+BDI!$C$21),2)</f>
        <v>161.86000000000001</v>
      </c>
      <c r="G366" s="41">
        <f t="shared" si="349"/>
        <v>161.86000000000001</v>
      </c>
      <c r="H366" s="13">
        <f t="shared" si="342"/>
        <v>0</v>
      </c>
      <c r="I366" s="13">
        <f t="shared" si="343"/>
        <v>12301.36</v>
      </c>
      <c r="J366" s="14">
        <f t="shared" si="344"/>
        <v>12301.36</v>
      </c>
      <c r="M366" s="54"/>
      <c r="N366" s="56"/>
      <c r="V366" s="74">
        <v>76</v>
      </c>
      <c r="W366" s="74" t="s">
        <v>46</v>
      </c>
      <c r="X366" s="13">
        <v>0</v>
      </c>
      <c r="Y366" s="13">
        <v>202.2</v>
      </c>
      <c r="Z366" s="13">
        <f t="shared" si="350"/>
        <v>202.2</v>
      </c>
      <c r="AB366" s="74">
        <v>76</v>
      </c>
      <c r="AC366" s="74" t="s">
        <v>46</v>
      </c>
      <c r="AD366" s="13">
        <v>0</v>
      </c>
      <c r="AE366" s="13">
        <v>260.47000000000003</v>
      </c>
      <c r="AF366" s="13">
        <f t="shared" si="351"/>
        <v>260.47000000000003</v>
      </c>
      <c r="AH366" s="89">
        <f t="shared" si="352"/>
        <v>0</v>
      </c>
      <c r="AI366" s="89">
        <f t="shared" si="353"/>
        <v>-0.37858486581948014</v>
      </c>
      <c r="AJ366" s="89">
        <f t="shared" si="354"/>
        <v>-0.37858486581948014</v>
      </c>
    </row>
    <row r="367" spans="1:36" x14ac:dyDescent="0.3">
      <c r="A367" s="10">
        <v>19120</v>
      </c>
      <c r="B367" s="44" t="s">
        <v>701</v>
      </c>
      <c r="C367" s="12">
        <f t="shared" si="347"/>
        <v>1</v>
      </c>
      <c r="D367" s="41" t="str">
        <f t="shared" si="348"/>
        <v>UN</v>
      </c>
      <c r="E367" s="41">
        <f>ROUND((X367*(1-$M$5))*(1+BDI!$C$21),2)</f>
        <v>79.760000000000005</v>
      </c>
      <c r="F367" s="41">
        <f>ROUND((Y367*(1-$N$5))*(1+BDI!$C$21),2)</f>
        <v>528.44000000000005</v>
      </c>
      <c r="G367" s="41">
        <f t="shared" si="349"/>
        <v>608.20000000000005</v>
      </c>
      <c r="H367" s="13">
        <f t="shared" si="342"/>
        <v>79.760000000000005</v>
      </c>
      <c r="I367" s="13">
        <f t="shared" si="343"/>
        <v>528.44000000000005</v>
      </c>
      <c r="J367" s="14">
        <f t="shared" si="344"/>
        <v>608.20000000000005</v>
      </c>
      <c r="M367" s="54"/>
      <c r="N367" s="56"/>
      <c r="V367" s="74">
        <v>1</v>
      </c>
      <c r="W367" s="74" t="s">
        <v>46</v>
      </c>
      <c r="X367" s="13">
        <v>99.64</v>
      </c>
      <c r="Y367" s="13">
        <v>660.15</v>
      </c>
      <c r="Z367" s="13">
        <f t="shared" si="350"/>
        <v>759.79</v>
      </c>
      <c r="AB367" s="74">
        <v>1</v>
      </c>
      <c r="AC367" s="74" t="s">
        <v>46</v>
      </c>
      <c r="AD367" s="13">
        <v>128.36000000000001</v>
      </c>
      <c r="AE367" s="13">
        <v>850.41</v>
      </c>
      <c r="AF367" s="13">
        <f t="shared" si="351"/>
        <v>978.77</v>
      </c>
      <c r="AH367" s="89">
        <f t="shared" si="352"/>
        <v>-0.37862262387036461</v>
      </c>
      <c r="AI367" s="89">
        <f t="shared" si="353"/>
        <v>-0.37860561376277313</v>
      </c>
      <c r="AJ367" s="89">
        <f t="shared" si="354"/>
        <v>-0.37860784453957508</v>
      </c>
    </row>
    <row r="368" spans="1:36" x14ac:dyDescent="0.3">
      <c r="A368" s="10">
        <v>19121</v>
      </c>
      <c r="B368" s="44" t="s">
        <v>702</v>
      </c>
      <c r="C368" s="12">
        <f t="shared" si="347"/>
        <v>1</v>
      </c>
      <c r="D368" s="41" t="str">
        <f t="shared" si="348"/>
        <v>UN</v>
      </c>
      <c r="E368" s="41">
        <f>ROUND((X368*(1-$M$5))*(1+BDI!$C$21),2)</f>
        <v>79.760000000000005</v>
      </c>
      <c r="F368" s="41">
        <f>ROUND((Y368*(1-$N$5))*(1+BDI!$C$21),2)</f>
        <v>574.79</v>
      </c>
      <c r="G368" s="41">
        <f t="shared" si="349"/>
        <v>654.54999999999995</v>
      </c>
      <c r="H368" s="13">
        <f t="shared" si="342"/>
        <v>79.760000000000005</v>
      </c>
      <c r="I368" s="13">
        <f t="shared" si="343"/>
        <v>574.79</v>
      </c>
      <c r="J368" s="14">
        <f t="shared" si="344"/>
        <v>654.54999999999995</v>
      </c>
      <c r="M368" s="54"/>
      <c r="N368" s="56"/>
      <c r="V368" s="74">
        <v>1</v>
      </c>
      <c r="W368" s="74" t="s">
        <v>46</v>
      </c>
      <c r="X368" s="13">
        <v>99.64</v>
      </c>
      <c r="Y368" s="13">
        <v>718.05</v>
      </c>
      <c r="Z368" s="13">
        <f t="shared" si="350"/>
        <v>817.68999999999994</v>
      </c>
      <c r="AB368" s="74">
        <v>1</v>
      </c>
      <c r="AC368" s="74" t="s">
        <v>46</v>
      </c>
      <c r="AD368" s="13">
        <v>128.36000000000001</v>
      </c>
      <c r="AE368" s="13">
        <v>924.99</v>
      </c>
      <c r="AF368" s="13">
        <f t="shared" si="351"/>
        <v>1053.3499999999999</v>
      </c>
      <c r="AH368" s="89">
        <f t="shared" si="352"/>
        <v>-0.37862262387036461</v>
      </c>
      <c r="AI368" s="89">
        <f t="shared" si="353"/>
        <v>-0.378598687553379</v>
      </c>
      <c r="AJ368" s="89">
        <f t="shared" si="354"/>
        <v>-0.37860160440499357</v>
      </c>
    </row>
    <row r="369" spans="1:36" x14ac:dyDescent="0.3">
      <c r="A369" s="10">
        <v>19122</v>
      </c>
      <c r="B369" s="44" t="s">
        <v>703</v>
      </c>
      <c r="C369" s="12">
        <f t="shared" si="347"/>
        <v>2731</v>
      </c>
      <c r="D369" s="41" t="str">
        <f t="shared" si="348"/>
        <v>m</v>
      </c>
      <c r="E369" s="41">
        <f>ROUND((X369*(1-$M$5))*(1+BDI!$C$21),2)</f>
        <v>0</v>
      </c>
      <c r="F369" s="41">
        <f>ROUND((Y369*(1-$N$5))*(1+BDI!$C$21),2)</f>
        <v>8.09</v>
      </c>
      <c r="G369" s="41">
        <f t="shared" ref="G369:G374" si="355">F369+E369</f>
        <v>8.09</v>
      </c>
      <c r="H369" s="13">
        <f t="shared" ref="H369:H374" si="356">C369*E369</f>
        <v>0</v>
      </c>
      <c r="I369" s="13">
        <f t="shared" ref="I369:I374" si="357">C369*F369</f>
        <v>22093.79</v>
      </c>
      <c r="J369" s="14">
        <f t="shared" ref="J369:J374" si="358">SUM(E369:F369)*C369</f>
        <v>22093.79</v>
      </c>
      <c r="M369" s="54"/>
      <c r="N369" s="56"/>
      <c r="V369" s="74">
        <v>2731</v>
      </c>
      <c r="W369" s="74" t="s">
        <v>75</v>
      </c>
      <c r="X369" s="13">
        <v>0</v>
      </c>
      <c r="Y369" s="13">
        <v>10.11</v>
      </c>
      <c r="Z369" s="13">
        <f t="shared" ref="Z369:Z374" si="359">SUM(X369:Y369)</f>
        <v>10.11</v>
      </c>
      <c r="AB369" s="74">
        <v>2731</v>
      </c>
      <c r="AC369" s="74" t="s">
        <v>75</v>
      </c>
      <c r="AD369" s="13">
        <v>0</v>
      </c>
      <c r="AE369" s="13">
        <v>13.02</v>
      </c>
      <c r="AF369" s="13">
        <f t="shared" ref="AF369:AF374" si="360">SUM(AD369:AE369)</f>
        <v>13.02</v>
      </c>
      <c r="AH369" s="89">
        <f t="shared" si="352"/>
        <v>0</v>
      </c>
      <c r="AI369" s="89">
        <f t="shared" si="353"/>
        <v>-0.37864823348694321</v>
      </c>
      <c r="AJ369" s="89">
        <f t="shared" si="354"/>
        <v>-0.37864823348694321</v>
      </c>
    </row>
    <row r="370" spans="1:36" x14ac:dyDescent="0.3">
      <c r="A370" s="10">
        <v>19123</v>
      </c>
      <c r="B370" s="44" t="s">
        <v>704</v>
      </c>
      <c r="C370" s="12">
        <f t="shared" si="347"/>
        <v>143</v>
      </c>
      <c r="D370" s="41" t="str">
        <f t="shared" si="348"/>
        <v>UN</v>
      </c>
      <c r="E370" s="41">
        <f>ROUND((X370*(1-$M$5))*(1+BDI!$C$21),2)</f>
        <v>0</v>
      </c>
      <c r="F370" s="41">
        <f>ROUND((Y370*(1-$N$5))*(1+BDI!$C$21),2)</f>
        <v>16.32</v>
      </c>
      <c r="G370" s="41">
        <f t="shared" si="355"/>
        <v>16.32</v>
      </c>
      <c r="H370" s="13">
        <f t="shared" si="356"/>
        <v>0</v>
      </c>
      <c r="I370" s="13">
        <f t="shared" si="357"/>
        <v>2333.7600000000002</v>
      </c>
      <c r="J370" s="14">
        <f t="shared" si="358"/>
        <v>2333.7600000000002</v>
      </c>
      <c r="M370" s="54"/>
      <c r="N370" s="56"/>
      <c r="V370" s="74">
        <v>143</v>
      </c>
      <c r="W370" s="74" t="s">
        <v>46</v>
      </c>
      <c r="X370" s="13">
        <v>0</v>
      </c>
      <c r="Y370" s="13">
        <v>20.39</v>
      </c>
      <c r="Z370" s="13">
        <f t="shared" si="359"/>
        <v>20.39</v>
      </c>
      <c r="AB370" s="74">
        <v>143</v>
      </c>
      <c r="AC370" s="74" t="s">
        <v>46</v>
      </c>
      <c r="AD370" s="13">
        <v>0</v>
      </c>
      <c r="AE370" s="13">
        <v>26.27</v>
      </c>
      <c r="AF370" s="13">
        <f t="shared" si="360"/>
        <v>26.27</v>
      </c>
      <c r="AH370" s="89">
        <f t="shared" si="352"/>
        <v>0</v>
      </c>
      <c r="AI370" s="89">
        <f t="shared" si="353"/>
        <v>-0.37875904073087174</v>
      </c>
      <c r="AJ370" s="89">
        <f t="shared" si="354"/>
        <v>-0.37875904073087174</v>
      </c>
    </row>
    <row r="371" spans="1:36" x14ac:dyDescent="0.3">
      <c r="A371" s="10">
        <v>19124</v>
      </c>
      <c r="B371" s="44" t="s">
        <v>705</v>
      </c>
      <c r="C371" s="12">
        <f t="shared" si="347"/>
        <v>9</v>
      </c>
      <c r="D371" s="41" t="str">
        <f t="shared" si="348"/>
        <v>UN</v>
      </c>
      <c r="E371" s="41">
        <f>ROUND((X371*(1-$M$5))*(1+BDI!$C$21),2)</f>
        <v>28.39</v>
      </c>
      <c r="F371" s="41">
        <f>ROUND((Y371*(1-$N$5))*(1+BDI!$C$21),2)</f>
        <v>18.88</v>
      </c>
      <c r="G371" s="41">
        <f t="shared" si="355"/>
        <v>47.269999999999996</v>
      </c>
      <c r="H371" s="13">
        <f t="shared" si="356"/>
        <v>255.51</v>
      </c>
      <c r="I371" s="13">
        <f t="shared" si="357"/>
        <v>169.92</v>
      </c>
      <c r="J371" s="14">
        <f t="shared" si="358"/>
        <v>425.42999999999995</v>
      </c>
      <c r="M371" s="54"/>
      <c r="N371" s="56"/>
      <c r="V371" s="74">
        <v>9</v>
      </c>
      <c r="W371" s="74" t="s">
        <v>46</v>
      </c>
      <c r="X371" s="13">
        <v>35.46</v>
      </c>
      <c r="Y371" s="13">
        <v>23.59</v>
      </c>
      <c r="Z371" s="13">
        <f t="shared" si="359"/>
        <v>59.05</v>
      </c>
      <c r="AB371" s="74">
        <v>9</v>
      </c>
      <c r="AC371" s="74" t="s">
        <v>46</v>
      </c>
      <c r="AD371" s="13">
        <v>45.68</v>
      </c>
      <c r="AE371" s="13">
        <v>30.39</v>
      </c>
      <c r="AF371" s="13">
        <f t="shared" si="360"/>
        <v>76.069999999999993</v>
      </c>
      <c r="AH371" s="89">
        <f t="shared" si="352"/>
        <v>-0.37850262697022763</v>
      </c>
      <c r="AI371" s="89">
        <f t="shared" si="353"/>
        <v>-0.37874300756827906</v>
      </c>
      <c r="AJ371" s="89">
        <f t="shared" si="354"/>
        <v>-0.37859865912974888</v>
      </c>
    </row>
    <row r="372" spans="1:36" x14ac:dyDescent="0.3">
      <c r="A372" s="10">
        <v>19125</v>
      </c>
      <c r="B372" s="44" t="s">
        <v>706</v>
      </c>
      <c r="C372" s="12">
        <f t="shared" si="347"/>
        <v>5</v>
      </c>
      <c r="D372" s="41" t="str">
        <f t="shared" si="348"/>
        <v>UN</v>
      </c>
      <c r="E372" s="41">
        <f>ROUND((X372*(1-$M$5))*(1+BDI!$C$21),2)</f>
        <v>20.2</v>
      </c>
      <c r="F372" s="41">
        <f>ROUND((Y372*(1-$N$5))*(1+BDI!$C$21),2)</f>
        <v>27.98</v>
      </c>
      <c r="G372" s="41">
        <f t="shared" si="355"/>
        <v>48.18</v>
      </c>
      <c r="H372" s="13">
        <f t="shared" si="356"/>
        <v>101</v>
      </c>
      <c r="I372" s="13">
        <f t="shared" si="357"/>
        <v>139.9</v>
      </c>
      <c r="J372" s="14">
        <f t="shared" si="358"/>
        <v>240.9</v>
      </c>
      <c r="M372" s="54"/>
      <c r="N372" s="56"/>
      <c r="V372" s="74">
        <v>5</v>
      </c>
      <c r="W372" s="74" t="s">
        <v>46</v>
      </c>
      <c r="X372" s="13">
        <v>25.23</v>
      </c>
      <c r="Y372" s="13">
        <v>34.950000000000003</v>
      </c>
      <c r="Z372" s="13">
        <f t="shared" si="359"/>
        <v>60.180000000000007</v>
      </c>
      <c r="AB372" s="74">
        <v>5</v>
      </c>
      <c r="AC372" s="74" t="s">
        <v>46</v>
      </c>
      <c r="AD372" s="13">
        <v>32.5</v>
      </c>
      <c r="AE372" s="13">
        <v>45.02</v>
      </c>
      <c r="AF372" s="13">
        <f t="shared" si="360"/>
        <v>77.52000000000001</v>
      </c>
      <c r="AH372" s="89">
        <f t="shared" si="352"/>
        <v>-0.37846153846153852</v>
      </c>
      <c r="AI372" s="89">
        <f t="shared" si="353"/>
        <v>-0.37849844513549535</v>
      </c>
      <c r="AJ372" s="89">
        <f t="shared" si="354"/>
        <v>-0.37848297213622295</v>
      </c>
    </row>
    <row r="373" spans="1:36" x14ac:dyDescent="0.3">
      <c r="A373" s="10">
        <v>19126</v>
      </c>
      <c r="B373" s="44" t="s">
        <v>707</v>
      </c>
      <c r="C373" s="12">
        <f t="shared" si="347"/>
        <v>6</v>
      </c>
      <c r="D373" s="41" t="str">
        <f t="shared" si="348"/>
        <v>UN</v>
      </c>
      <c r="E373" s="41">
        <f>ROUND((X373*(1-$M$5))*(1+BDI!$C$21),2)</f>
        <v>28.19</v>
      </c>
      <c r="F373" s="41">
        <f>ROUND((Y373*(1-$N$5))*(1+BDI!$C$21),2)</f>
        <v>15.39</v>
      </c>
      <c r="G373" s="41">
        <f t="shared" si="355"/>
        <v>43.58</v>
      </c>
      <c r="H373" s="13">
        <f t="shared" si="356"/>
        <v>169.14000000000001</v>
      </c>
      <c r="I373" s="13">
        <f t="shared" si="357"/>
        <v>92.34</v>
      </c>
      <c r="J373" s="14">
        <f t="shared" si="358"/>
        <v>261.48</v>
      </c>
      <c r="M373" s="54"/>
      <c r="N373" s="56"/>
      <c r="V373" s="74">
        <v>6</v>
      </c>
      <c r="W373" s="74" t="s">
        <v>46</v>
      </c>
      <c r="X373" s="13">
        <v>35.22</v>
      </c>
      <c r="Y373" s="13">
        <v>19.23</v>
      </c>
      <c r="Z373" s="13">
        <f t="shared" si="359"/>
        <v>54.45</v>
      </c>
      <c r="AB373" s="74">
        <v>6</v>
      </c>
      <c r="AC373" s="74" t="s">
        <v>46</v>
      </c>
      <c r="AD373" s="13">
        <v>45.37</v>
      </c>
      <c r="AE373" s="13">
        <v>24.77</v>
      </c>
      <c r="AF373" s="13">
        <f t="shared" si="360"/>
        <v>70.14</v>
      </c>
      <c r="AH373" s="89">
        <f t="shared" si="352"/>
        <v>-0.37866431562706626</v>
      </c>
      <c r="AI373" s="89">
        <f t="shared" si="353"/>
        <v>-0.37868389180460227</v>
      </c>
      <c r="AJ373" s="89">
        <f t="shared" si="354"/>
        <v>-0.37867122897063021</v>
      </c>
    </row>
    <row r="374" spans="1:36" x14ac:dyDescent="0.3">
      <c r="A374" s="10">
        <v>19127</v>
      </c>
      <c r="B374" s="44" t="s">
        <v>708</v>
      </c>
      <c r="C374" s="12">
        <f t="shared" si="347"/>
        <v>57</v>
      </c>
      <c r="D374" s="41" t="str">
        <f t="shared" si="348"/>
        <v>UN</v>
      </c>
      <c r="E374" s="41">
        <f>ROUND((X374*(1-$M$5))*(1+BDI!$C$21),2)</f>
        <v>74.010000000000005</v>
      </c>
      <c r="F374" s="41">
        <f>ROUND((Y374*(1-$N$5))*(1+BDI!$C$21),2)</f>
        <v>37.770000000000003</v>
      </c>
      <c r="G374" s="41">
        <f t="shared" si="355"/>
        <v>111.78</v>
      </c>
      <c r="H374" s="13">
        <f t="shared" si="356"/>
        <v>4218.5700000000006</v>
      </c>
      <c r="I374" s="13">
        <f t="shared" si="357"/>
        <v>2152.8900000000003</v>
      </c>
      <c r="J374" s="14">
        <f t="shared" si="358"/>
        <v>6371.46</v>
      </c>
      <c r="M374" s="54"/>
      <c r="N374" s="56"/>
      <c r="V374" s="74">
        <v>57</v>
      </c>
      <c r="W374" s="74" t="s">
        <v>46</v>
      </c>
      <c r="X374" s="13">
        <v>92.46</v>
      </c>
      <c r="Y374" s="13">
        <v>47.18</v>
      </c>
      <c r="Z374" s="13">
        <f t="shared" si="359"/>
        <v>139.63999999999999</v>
      </c>
      <c r="AB374" s="74">
        <v>57</v>
      </c>
      <c r="AC374" s="74" t="s">
        <v>46</v>
      </c>
      <c r="AD374" s="13">
        <v>119.11</v>
      </c>
      <c r="AE374" s="13">
        <v>60.78</v>
      </c>
      <c r="AF374" s="13">
        <f t="shared" si="360"/>
        <v>179.89</v>
      </c>
      <c r="AH374" s="89">
        <f t="shared" si="352"/>
        <v>-0.37864159180589363</v>
      </c>
      <c r="AI374" s="89">
        <f t="shared" si="353"/>
        <v>-0.3785784797630799</v>
      </c>
      <c r="AJ374" s="89">
        <f t="shared" si="354"/>
        <v>-0.37862026794151982</v>
      </c>
    </row>
    <row r="375" spans="1:36" x14ac:dyDescent="0.3">
      <c r="A375" s="10">
        <v>19128</v>
      </c>
      <c r="B375" s="44" t="s">
        <v>709</v>
      </c>
      <c r="C375" s="12">
        <f t="shared" si="347"/>
        <v>18</v>
      </c>
      <c r="D375" s="41" t="str">
        <f t="shared" si="348"/>
        <v>UN</v>
      </c>
      <c r="E375" s="41">
        <f>ROUND((X375*(1-$M$5))*(1+BDI!$C$21),2)</f>
        <v>298.87</v>
      </c>
      <c r="F375" s="41">
        <f>ROUND((Y375*(1-$N$5))*(1+BDI!$C$21),2)</f>
        <v>37.770000000000003</v>
      </c>
      <c r="G375" s="41">
        <f t="shared" si="349"/>
        <v>336.64</v>
      </c>
      <c r="H375" s="13">
        <f t="shared" si="342"/>
        <v>5379.66</v>
      </c>
      <c r="I375" s="13">
        <f t="shared" si="343"/>
        <v>679.86</v>
      </c>
      <c r="J375" s="14">
        <f t="shared" si="344"/>
        <v>6059.5199999999995</v>
      </c>
      <c r="M375" s="54"/>
      <c r="N375" s="56"/>
      <c r="V375" s="74">
        <v>18</v>
      </c>
      <c r="W375" s="74" t="s">
        <v>46</v>
      </c>
      <c r="X375" s="13">
        <v>373.36</v>
      </c>
      <c r="Y375" s="13">
        <v>47.18</v>
      </c>
      <c r="Z375" s="13">
        <f t="shared" si="350"/>
        <v>420.54</v>
      </c>
      <c r="AB375" s="74">
        <v>18</v>
      </c>
      <c r="AC375" s="74" t="s">
        <v>46</v>
      </c>
      <c r="AD375" s="13">
        <v>480.96</v>
      </c>
      <c r="AE375" s="13">
        <v>60.78</v>
      </c>
      <c r="AF375" s="13">
        <f t="shared" ref="AF375:AF378" si="361">SUM(AD375:AE375)</f>
        <v>541.74</v>
      </c>
      <c r="AH375" s="89">
        <f t="shared" si="352"/>
        <v>-0.37859697272122417</v>
      </c>
      <c r="AI375" s="89">
        <f t="shared" si="353"/>
        <v>-0.3785784797630799</v>
      </c>
      <c r="AJ375" s="89">
        <f t="shared" si="354"/>
        <v>-0.37859489792151224</v>
      </c>
    </row>
    <row r="376" spans="1:36" x14ac:dyDescent="0.3">
      <c r="A376" s="10">
        <v>19129</v>
      </c>
      <c r="B376" s="44" t="s">
        <v>710</v>
      </c>
      <c r="C376" s="12">
        <f t="shared" ref="C376" si="362">V376</f>
        <v>1</v>
      </c>
      <c r="D376" s="41" t="str">
        <f t="shared" ref="D376" si="363">W376</f>
        <v>m</v>
      </c>
      <c r="E376" s="41">
        <f>ROUND((X376*(1-$M$5))*(1+BDI!$C$21),2)</f>
        <v>5.67</v>
      </c>
      <c r="F376" s="41">
        <f>ROUND((Y376*(1-$N$5))*(1+BDI!$C$21),2)</f>
        <v>4.5599999999999996</v>
      </c>
      <c r="G376" s="41">
        <f t="shared" ref="G376" si="364">F376+E376</f>
        <v>10.23</v>
      </c>
      <c r="H376" s="13">
        <f t="shared" ref="H376" si="365">C376*E376</f>
        <v>5.67</v>
      </c>
      <c r="I376" s="13">
        <f t="shared" ref="I376" si="366">C376*F376</f>
        <v>4.5599999999999996</v>
      </c>
      <c r="J376" s="14">
        <f t="shared" ref="J376" si="367">SUM(E376:F376)*C376</f>
        <v>10.23</v>
      </c>
      <c r="M376" s="54"/>
      <c r="N376" s="56"/>
      <c r="V376" s="74">
        <v>1</v>
      </c>
      <c r="W376" s="74" t="s">
        <v>75</v>
      </c>
      <c r="X376" s="13">
        <v>7.08</v>
      </c>
      <c r="Y376" s="13">
        <v>5.7</v>
      </c>
      <c r="Z376" s="13">
        <f t="shared" ref="Z376" si="368">SUM(X376:Y376)</f>
        <v>12.780000000000001</v>
      </c>
      <c r="AB376" s="74">
        <v>1</v>
      </c>
      <c r="AC376" s="74" t="s">
        <v>75</v>
      </c>
      <c r="AD376" s="13">
        <v>9.1199999999999992</v>
      </c>
      <c r="AE376" s="13">
        <v>7.34</v>
      </c>
      <c r="AF376" s="13">
        <f t="shared" ref="AF376" si="369">SUM(AD376:AE376)</f>
        <v>16.46</v>
      </c>
      <c r="AH376" s="89">
        <f t="shared" ref="AH376" si="370">IF(E376=0,0,(E376/AD376)-1)</f>
        <v>-0.37828947368421051</v>
      </c>
      <c r="AI376" s="89">
        <f t="shared" ref="AI376" si="371">IF(F376=0,0,(F376/AE376)-1)</f>
        <v>-0.37874659400544963</v>
      </c>
      <c r="AJ376" s="89">
        <f t="shared" ref="AJ376" si="372">IF(G376=0,0,(G376/AF376)-1)</f>
        <v>-0.37849331713244228</v>
      </c>
    </row>
    <row r="377" spans="1:36" x14ac:dyDescent="0.3">
      <c r="A377" s="10">
        <v>19130</v>
      </c>
      <c r="B377" s="44" t="s">
        <v>711</v>
      </c>
      <c r="C377" s="12">
        <f t="shared" si="347"/>
        <v>1</v>
      </c>
      <c r="D377" s="41" t="str">
        <f t="shared" si="348"/>
        <v>m</v>
      </c>
      <c r="E377" s="41">
        <f>ROUND((X377*(1-$M$5))*(1+BDI!$C$21),2)</f>
        <v>3.3</v>
      </c>
      <c r="F377" s="41">
        <f>ROUND((Y377*(1-$N$5))*(1+BDI!$C$21),2)</f>
        <v>4.5599999999999996</v>
      </c>
      <c r="G377" s="41">
        <f t="shared" si="349"/>
        <v>7.8599999999999994</v>
      </c>
      <c r="H377" s="13">
        <f t="shared" si="342"/>
        <v>3.3</v>
      </c>
      <c r="I377" s="13">
        <f t="shared" si="343"/>
        <v>4.5599999999999996</v>
      </c>
      <c r="J377" s="14">
        <f t="shared" si="344"/>
        <v>7.8599999999999994</v>
      </c>
      <c r="M377" s="54"/>
      <c r="N377" s="56"/>
      <c r="V377" s="74">
        <v>1</v>
      </c>
      <c r="W377" s="74" t="s">
        <v>75</v>
      </c>
      <c r="X377" s="13">
        <v>4.12</v>
      </c>
      <c r="Y377" s="13">
        <v>5.7</v>
      </c>
      <c r="Z377" s="13">
        <f t="shared" si="350"/>
        <v>9.82</v>
      </c>
      <c r="AB377" s="74">
        <v>1</v>
      </c>
      <c r="AC377" s="74" t="s">
        <v>75</v>
      </c>
      <c r="AD377" s="13">
        <v>5.31</v>
      </c>
      <c r="AE377" s="13">
        <v>7.34</v>
      </c>
      <c r="AF377" s="13">
        <f t="shared" si="361"/>
        <v>12.649999999999999</v>
      </c>
      <c r="AH377" s="89">
        <f t="shared" si="352"/>
        <v>-0.37853107344632764</v>
      </c>
      <c r="AI377" s="89">
        <f t="shared" si="353"/>
        <v>-0.37874659400544963</v>
      </c>
      <c r="AJ377" s="89">
        <f t="shared" si="354"/>
        <v>-0.37865612648221336</v>
      </c>
    </row>
    <row r="378" spans="1:36" x14ac:dyDescent="0.3">
      <c r="A378" s="10">
        <v>19131</v>
      </c>
      <c r="B378" s="44" t="s">
        <v>1064</v>
      </c>
      <c r="C378" s="12">
        <f t="shared" si="347"/>
        <v>1</v>
      </c>
      <c r="D378" s="41" t="str">
        <f t="shared" si="348"/>
        <v xml:space="preserve">un </v>
      </c>
      <c r="E378" s="41">
        <f>ROUND((X378*(1-$M$5))*(1+BDI!$C$21),2)</f>
        <v>267.57</v>
      </c>
      <c r="F378" s="41">
        <f>ROUND((Y378*(1-$N$5))*(1+BDI!$C$21),2)</f>
        <v>32.369999999999997</v>
      </c>
      <c r="G378" s="41">
        <f t="shared" si="349"/>
        <v>299.94</v>
      </c>
      <c r="H378" s="13">
        <f t="shared" si="342"/>
        <v>267.57</v>
      </c>
      <c r="I378" s="13">
        <f t="shared" si="343"/>
        <v>32.369999999999997</v>
      </c>
      <c r="J378" s="14">
        <f t="shared" si="344"/>
        <v>299.94</v>
      </c>
      <c r="M378" s="54"/>
      <c r="N378" s="56"/>
      <c r="V378" s="74">
        <v>1</v>
      </c>
      <c r="W378" s="74" t="s">
        <v>30</v>
      </c>
      <c r="X378" s="13">
        <v>334.26</v>
      </c>
      <c r="Y378" s="13">
        <v>40.44</v>
      </c>
      <c r="Z378" s="13">
        <f t="shared" si="350"/>
        <v>374.7</v>
      </c>
      <c r="AB378" s="74">
        <v>1</v>
      </c>
      <c r="AC378" s="74" t="s">
        <v>30</v>
      </c>
      <c r="AD378" s="13">
        <v>430.59</v>
      </c>
      <c r="AE378" s="13">
        <v>52.09</v>
      </c>
      <c r="AF378" s="13">
        <f t="shared" si="361"/>
        <v>482.67999999999995</v>
      </c>
      <c r="AH378" s="89">
        <f t="shared" si="352"/>
        <v>-0.37859680902947113</v>
      </c>
      <c r="AI378" s="89">
        <f t="shared" si="353"/>
        <v>-0.37857554233058177</v>
      </c>
      <c r="AJ378" s="89">
        <f t="shared" si="354"/>
        <v>-0.37859451396370258</v>
      </c>
    </row>
    <row r="379" spans="1:36" x14ac:dyDescent="0.3">
      <c r="A379" s="19">
        <v>20</v>
      </c>
      <c r="B379" s="20" t="s">
        <v>712</v>
      </c>
      <c r="C379" s="76"/>
      <c r="D379" s="58"/>
      <c r="E379" s="58"/>
      <c r="F379" s="58"/>
      <c r="G379" s="58"/>
      <c r="H379" s="24">
        <f t="shared" ref="H379:I379" si="373">SUM(H380:H402)</f>
        <v>52499.18</v>
      </c>
      <c r="I379" s="24">
        <f t="shared" si="373"/>
        <v>55865.380000000005</v>
      </c>
      <c r="J379" s="24">
        <f>SUM(J380:J402)</f>
        <v>108364.56000000001</v>
      </c>
      <c r="M379" s="54"/>
      <c r="N379" s="56"/>
      <c r="V379" s="75"/>
      <c r="W379" s="75"/>
      <c r="X379" s="23"/>
      <c r="Y379" s="23"/>
      <c r="Z379" s="23"/>
      <c r="AB379" s="75"/>
      <c r="AC379" s="75"/>
      <c r="AD379" s="23"/>
      <c r="AE379" s="23"/>
      <c r="AF379" s="23"/>
      <c r="AH379" s="89">
        <f t="shared" si="352"/>
        <v>0</v>
      </c>
      <c r="AI379" s="89">
        <f t="shared" si="353"/>
        <v>0</v>
      </c>
      <c r="AJ379" s="89">
        <f t="shared" si="354"/>
        <v>0</v>
      </c>
    </row>
    <row r="380" spans="1:36" x14ac:dyDescent="0.3">
      <c r="A380" s="21" t="s">
        <v>713</v>
      </c>
      <c r="B380" s="11" t="s">
        <v>714</v>
      </c>
      <c r="C380" s="12">
        <f t="shared" ref="C380:C402" si="374">V380</f>
        <v>1</v>
      </c>
      <c r="D380" s="41" t="str">
        <f t="shared" ref="D380:D402" si="375">W380</f>
        <v>un</v>
      </c>
      <c r="E380" s="41">
        <f>ROUND((X380*(1-$M$5))*(1+BDI!$C$21),2)</f>
        <v>22.12</v>
      </c>
      <c r="F380" s="41">
        <f>ROUND((Y380*(1-$N$5))*(1+BDI!$C$21),2)</f>
        <v>26.3</v>
      </c>
      <c r="G380" s="41">
        <f t="shared" si="349"/>
        <v>48.42</v>
      </c>
      <c r="H380" s="13">
        <f t="shared" ref="H380:H402" si="376">C380*E380</f>
        <v>22.12</v>
      </c>
      <c r="I380" s="13">
        <f t="shared" ref="I380:I402" si="377">C380*F380</f>
        <v>26.3</v>
      </c>
      <c r="J380" s="14">
        <f t="shared" si="344"/>
        <v>48.42</v>
      </c>
      <c r="M380" s="54"/>
      <c r="N380" s="56"/>
      <c r="V380" s="74">
        <v>1</v>
      </c>
      <c r="W380" s="74" t="s">
        <v>109</v>
      </c>
      <c r="X380" s="13">
        <v>27.63</v>
      </c>
      <c r="Y380" s="13">
        <v>32.86</v>
      </c>
      <c r="Z380" s="13">
        <f t="shared" ref="Z380:Z402" si="378">SUM(X380:Y380)</f>
        <v>60.489999999999995</v>
      </c>
      <c r="AB380" s="74">
        <v>1</v>
      </c>
      <c r="AC380" s="74" t="s">
        <v>109</v>
      </c>
      <c r="AD380" s="13">
        <v>35.590000000000003</v>
      </c>
      <c r="AE380" s="13">
        <v>42.33</v>
      </c>
      <c r="AF380" s="13">
        <f t="shared" ref="AF380:AF402" si="379">SUM(AD380:AE380)</f>
        <v>77.92</v>
      </c>
      <c r="AH380" s="89">
        <f t="shared" si="352"/>
        <v>-0.37847710030907566</v>
      </c>
      <c r="AI380" s="89">
        <f t="shared" si="353"/>
        <v>-0.37869123553035666</v>
      </c>
      <c r="AJ380" s="89">
        <f t="shared" si="354"/>
        <v>-0.37859342915811089</v>
      </c>
    </row>
    <row r="381" spans="1:36" x14ac:dyDescent="0.3">
      <c r="A381" s="21" t="s">
        <v>715</v>
      </c>
      <c r="B381" s="11" t="s">
        <v>716</v>
      </c>
      <c r="C381" s="12">
        <f t="shared" si="374"/>
        <v>15</v>
      </c>
      <c r="D381" s="41" t="str">
        <f t="shared" si="375"/>
        <v>un</v>
      </c>
      <c r="E381" s="41">
        <f>ROUND((X381*(1-$M$5))*(1+BDI!$C$21),2)</f>
        <v>23.48</v>
      </c>
      <c r="F381" s="41">
        <f>ROUND((Y381*(1-$N$5))*(1+BDI!$C$21),2)</f>
        <v>26.3</v>
      </c>
      <c r="G381" s="41">
        <f t="shared" si="349"/>
        <v>49.78</v>
      </c>
      <c r="H381" s="13">
        <f t="shared" si="376"/>
        <v>352.2</v>
      </c>
      <c r="I381" s="13">
        <f t="shared" si="377"/>
        <v>394.5</v>
      </c>
      <c r="J381" s="14">
        <f t="shared" si="344"/>
        <v>746.7</v>
      </c>
      <c r="M381" s="54"/>
      <c r="N381" s="56"/>
      <c r="V381" s="74">
        <v>15</v>
      </c>
      <c r="W381" s="74" t="s">
        <v>109</v>
      </c>
      <c r="X381" s="13">
        <v>29.33</v>
      </c>
      <c r="Y381" s="13">
        <v>32.86</v>
      </c>
      <c r="Z381" s="13">
        <f t="shared" si="378"/>
        <v>62.19</v>
      </c>
      <c r="AB381" s="74">
        <v>15</v>
      </c>
      <c r="AC381" s="74" t="s">
        <v>109</v>
      </c>
      <c r="AD381" s="13">
        <v>37.78</v>
      </c>
      <c r="AE381" s="13">
        <v>42.33</v>
      </c>
      <c r="AF381" s="13">
        <f t="shared" si="379"/>
        <v>80.11</v>
      </c>
      <c r="AH381" s="89">
        <f t="shared" si="352"/>
        <v>-0.37850714663843299</v>
      </c>
      <c r="AI381" s="89">
        <f t="shared" si="353"/>
        <v>-0.37869123553035666</v>
      </c>
      <c r="AJ381" s="89">
        <f t="shared" si="354"/>
        <v>-0.37860441892397956</v>
      </c>
    </row>
    <row r="382" spans="1:36" x14ac:dyDescent="0.3">
      <c r="A382" s="21" t="s">
        <v>717</v>
      </c>
      <c r="B382" s="11" t="s">
        <v>718</v>
      </c>
      <c r="C382" s="12">
        <f t="shared" si="374"/>
        <v>3</v>
      </c>
      <c r="D382" s="41" t="str">
        <f t="shared" si="375"/>
        <v>un</v>
      </c>
      <c r="E382" s="41">
        <f>ROUND((X382*(1-$M$5))*(1+BDI!$C$21),2)</f>
        <v>76.400000000000006</v>
      </c>
      <c r="F382" s="41">
        <f>ROUND((Y382*(1-$N$5))*(1+BDI!$C$21),2)</f>
        <v>26.3</v>
      </c>
      <c r="G382" s="41">
        <f t="shared" si="349"/>
        <v>102.7</v>
      </c>
      <c r="H382" s="13">
        <f t="shared" si="376"/>
        <v>229.20000000000002</v>
      </c>
      <c r="I382" s="13">
        <f t="shared" si="377"/>
        <v>78.900000000000006</v>
      </c>
      <c r="J382" s="14">
        <f t="shared" ref="J382:J443" si="380">SUM(E382:F382)*C382</f>
        <v>308.10000000000002</v>
      </c>
      <c r="M382" s="54"/>
      <c r="N382" s="56"/>
      <c r="V382" s="74">
        <v>3</v>
      </c>
      <c r="W382" s="74" t="s">
        <v>109</v>
      </c>
      <c r="X382" s="13">
        <v>95.44</v>
      </c>
      <c r="Y382" s="13">
        <v>32.86</v>
      </c>
      <c r="Z382" s="13">
        <f t="shared" si="378"/>
        <v>128.30000000000001</v>
      </c>
      <c r="AB382" s="74">
        <v>3</v>
      </c>
      <c r="AC382" s="74" t="s">
        <v>109</v>
      </c>
      <c r="AD382" s="13">
        <v>122.95</v>
      </c>
      <c r="AE382" s="13">
        <v>42.33</v>
      </c>
      <c r="AF382" s="13">
        <f t="shared" si="379"/>
        <v>165.28</v>
      </c>
      <c r="AH382" s="89">
        <f t="shared" si="352"/>
        <v>-0.37860919072793819</v>
      </c>
      <c r="AI382" s="89">
        <f t="shared" si="353"/>
        <v>-0.37869123553035666</v>
      </c>
      <c r="AJ382" s="89">
        <f t="shared" si="354"/>
        <v>-0.3786302032913843</v>
      </c>
    </row>
    <row r="383" spans="1:36" x14ac:dyDescent="0.3">
      <c r="A383" s="21" t="s">
        <v>719</v>
      </c>
      <c r="B383" s="11" t="s">
        <v>720</v>
      </c>
      <c r="C383" s="12">
        <f t="shared" si="374"/>
        <v>1</v>
      </c>
      <c r="D383" s="41" t="str">
        <f t="shared" si="375"/>
        <v>un</v>
      </c>
      <c r="E383" s="41">
        <f>ROUND((X383*(1-$M$5))*(1+BDI!$C$21),2)</f>
        <v>112.75</v>
      </c>
      <c r="F383" s="41">
        <f>ROUND((Y383*(1-$N$5))*(1+BDI!$C$21),2)</f>
        <v>41.41</v>
      </c>
      <c r="G383" s="41">
        <f t="shared" si="349"/>
        <v>154.16</v>
      </c>
      <c r="H383" s="13">
        <f t="shared" si="376"/>
        <v>112.75</v>
      </c>
      <c r="I383" s="13">
        <f t="shared" si="377"/>
        <v>41.41</v>
      </c>
      <c r="J383" s="14">
        <f t="shared" si="380"/>
        <v>154.16</v>
      </c>
      <c r="M383" s="54"/>
      <c r="N383" s="56"/>
      <c r="V383" s="74">
        <v>1</v>
      </c>
      <c r="W383" s="74" t="s">
        <v>109</v>
      </c>
      <c r="X383" s="13">
        <v>140.85</v>
      </c>
      <c r="Y383" s="13">
        <v>51.73</v>
      </c>
      <c r="Z383" s="13">
        <f t="shared" si="378"/>
        <v>192.57999999999998</v>
      </c>
      <c r="AB383" s="74">
        <v>1</v>
      </c>
      <c r="AC383" s="74" t="s">
        <v>109</v>
      </c>
      <c r="AD383" s="13">
        <v>181.44</v>
      </c>
      <c r="AE383" s="13">
        <v>66.64</v>
      </c>
      <c r="AF383" s="13">
        <f t="shared" si="379"/>
        <v>248.07999999999998</v>
      </c>
      <c r="AH383" s="89">
        <f t="shared" si="352"/>
        <v>-0.37858245149911818</v>
      </c>
      <c r="AI383" s="89">
        <f t="shared" si="353"/>
        <v>-0.37860144057623057</v>
      </c>
      <c r="AJ383" s="89">
        <f t="shared" si="354"/>
        <v>-0.37858755240245079</v>
      </c>
    </row>
    <row r="384" spans="1:36" x14ac:dyDescent="0.3">
      <c r="A384" s="21" t="s">
        <v>721</v>
      </c>
      <c r="B384" s="11" t="s">
        <v>722</v>
      </c>
      <c r="C384" s="12">
        <f t="shared" si="374"/>
        <v>1</v>
      </c>
      <c r="D384" s="41" t="str">
        <f t="shared" si="375"/>
        <v>un</v>
      </c>
      <c r="E384" s="41">
        <f>ROUND((X384*(1-$M$5))*(1+BDI!$C$21),2)</f>
        <v>44.52</v>
      </c>
      <c r="F384" s="41">
        <f>ROUND((Y384*(1-$N$5))*(1+BDI!$C$21),2)</f>
        <v>26.3</v>
      </c>
      <c r="G384" s="41">
        <f t="shared" si="349"/>
        <v>70.820000000000007</v>
      </c>
      <c r="H384" s="13">
        <f t="shared" si="376"/>
        <v>44.52</v>
      </c>
      <c r="I384" s="13">
        <f t="shared" si="377"/>
        <v>26.3</v>
      </c>
      <c r="J384" s="14">
        <f t="shared" si="380"/>
        <v>70.820000000000007</v>
      </c>
      <c r="M384" s="54"/>
      <c r="N384" s="56"/>
      <c r="V384" s="74">
        <v>1</v>
      </c>
      <c r="W384" s="74" t="s">
        <v>109</v>
      </c>
      <c r="X384" s="13">
        <v>55.61</v>
      </c>
      <c r="Y384" s="13">
        <v>32.86</v>
      </c>
      <c r="Z384" s="13">
        <f t="shared" si="378"/>
        <v>88.47</v>
      </c>
      <c r="AB384" s="74">
        <v>1</v>
      </c>
      <c r="AC384" s="74" t="s">
        <v>109</v>
      </c>
      <c r="AD384" s="13">
        <v>71.64</v>
      </c>
      <c r="AE384" s="13">
        <v>42.33</v>
      </c>
      <c r="AF384" s="13">
        <f t="shared" si="379"/>
        <v>113.97</v>
      </c>
      <c r="AH384" s="89">
        <f t="shared" si="352"/>
        <v>-0.37855946398659968</v>
      </c>
      <c r="AI384" s="89">
        <f t="shared" si="353"/>
        <v>-0.37869123553035666</v>
      </c>
      <c r="AJ384" s="89">
        <f t="shared" si="354"/>
        <v>-0.37860840572080368</v>
      </c>
    </row>
    <row r="385" spans="1:36" x14ac:dyDescent="0.3">
      <c r="A385" s="21" t="s">
        <v>723</v>
      </c>
      <c r="B385" s="11" t="s">
        <v>724</v>
      </c>
      <c r="C385" s="12">
        <f t="shared" si="374"/>
        <v>3</v>
      </c>
      <c r="D385" s="41" t="str">
        <f t="shared" si="375"/>
        <v>un</v>
      </c>
      <c r="E385" s="41">
        <f>ROUND((X385*(1-$M$5))*(1+BDI!$C$21),2)</f>
        <v>63.56</v>
      </c>
      <c r="F385" s="41">
        <f>ROUND((Y385*(1-$N$5))*(1+BDI!$C$21),2)</f>
        <v>41.41</v>
      </c>
      <c r="G385" s="41">
        <f t="shared" si="349"/>
        <v>104.97</v>
      </c>
      <c r="H385" s="13">
        <f t="shared" si="376"/>
        <v>190.68</v>
      </c>
      <c r="I385" s="13">
        <f t="shared" si="377"/>
        <v>124.22999999999999</v>
      </c>
      <c r="J385" s="14">
        <f t="shared" si="380"/>
        <v>314.90999999999997</v>
      </c>
      <c r="M385" s="54"/>
      <c r="N385" s="56"/>
      <c r="V385" s="74">
        <v>3</v>
      </c>
      <c r="W385" s="74" t="s">
        <v>109</v>
      </c>
      <c r="X385" s="13">
        <v>79.400000000000006</v>
      </c>
      <c r="Y385" s="13">
        <v>51.73</v>
      </c>
      <c r="Z385" s="13">
        <f t="shared" si="378"/>
        <v>131.13</v>
      </c>
      <c r="AB385" s="74">
        <v>3</v>
      </c>
      <c r="AC385" s="74" t="s">
        <v>109</v>
      </c>
      <c r="AD385" s="13">
        <v>102.28</v>
      </c>
      <c r="AE385" s="13">
        <v>66.64</v>
      </c>
      <c r="AF385" s="13">
        <f t="shared" si="379"/>
        <v>168.92000000000002</v>
      </c>
      <c r="AH385" s="89">
        <f t="shared" si="352"/>
        <v>-0.37856863511928041</v>
      </c>
      <c r="AI385" s="89">
        <f t="shared" si="353"/>
        <v>-0.37860144057623057</v>
      </c>
      <c r="AJ385" s="89">
        <f t="shared" si="354"/>
        <v>-0.37858157707790674</v>
      </c>
    </row>
    <row r="386" spans="1:36" x14ac:dyDescent="0.3">
      <c r="A386" s="21" t="s">
        <v>725</v>
      </c>
      <c r="B386" s="11" t="s">
        <v>726</v>
      </c>
      <c r="C386" s="12">
        <f t="shared" si="374"/>
        <v>1</v>
      </c>
      <c r="D386" s="41" t="str">
        <f t="shared" si="375"/>
        <v>un</v>
      </c>
      <c r="E386" s="41">
        <f>ROUND((X386*(1-$M$5))*(1+BDI!$C$21),2)</f>
        <v>102.73</v>
      </c>
      <c r="F386" s="41">
        <f>ROUND((Y386*(1-$N$5))*(1+BDI!$C$21),2)</f>
        <v>41.41</v>
      </c>
      <c r="G386" s="41">
        <f t="shared" si="349"/>
        <v>144.13999999999999</v>
      </c>
      <c r="H386" s="13">
        <f t="shared" si="376"/>
        <v>102.73</v>
      </c>
      <c r="I386" s="13">
        <f t="shared" si="377"/>
        <v>41.41</v>
      </c>
      <c r="J386" s="14">
        <f t="shared" si="380"/>
        <v>144.13999999999999</v>
      </c>
      <c r="M386" s="54"/>
      <c r="N386" s="56"/>
      <c r="V386" s="74">
        <v>1</v>
      </c>
      <c r="W386" s="74" t="s">
        <v>109</v>
      </c>
      <c r="X386" s="13">
        <v>128.34</v>
      </c>
      <c r="Y386" s="13">
        <v>51.73</v>
      </c>
      <c r="Z386" s="13">
        <f t="shared" si="378"/>
        <v>180.07</v>
      </c>
      <c r="AB386" s="74">
        <v>1</v>
      </c>
      <c r="AC386" s="74" t="s">
        <v>109</v>
      </c>
      <c r="AD386" s="13">
        <v>165.33</v>
      </c>
      <c r="AE386" s="13">
        <v>66.64</v>
      </c>
      <c r="AF386" s="13">
        <f t="shared" si="379"/>
        <v>231.97000000000003</v>
      </c>
      <c r="AH386" s="89">
        <f t="shared" si="352"/>
        <v>-0.37863666606181579</v>
      </c>
      <c r="AI386" s="89">
        <f t="shared" si="353"/>
        <v>-0.37860144057623057</v>
      </c>
      <c r="AJ386" s="89">
        <f t="shared" si="354"/>
        <v>-0.37862654653619021</v>
      </c>
    </row>
    <row r="387" spans="1:36" x14ac:dyDescent="0.3">
      <c r="A387" s="21" t="s">
        <v>727</v>
      </c>
      <c r="B387" s="11" t="s">
        <v>728</v>
      </c>
      <c r="C387" s="12">
        <f t="shared" si="374"/>
        <v>3</v>
      </c>
      <c r="D387" s="41" t="str">
        <f t="shared" si="375"/>
        <v>un</v>
      </c>
      <c r="E387" s="41">
        <f>ROUND((X387*(1-$M$5))*(1+BDI!$C$21),2)</f>
        <v>116.21</v>
      </c>
      <c r="F387" s="41">
        <f>ROUND((Y387*(1-$N$5))*(1+BDI!$C$21),2)</f>
        <v>41.41</v>
      </c>
      <c r="G387" s="41">
        <f t="shared" si="349"/>
        <v>157.62</v>
      </c>
      <c r="H387" s="13">
        <f t="shared" si="376"/>
        <v>348.63</v>
      </c>
      <c r="I387" s="13">
        <f t="shared" si="377"/>
        <v>124.22999999999999</v>
      </c>
      <c r="J387" s="14">
        <f t="shared" si="380"/>
        <v>472.86</v>
      </c>
      <c r="M387" s="54"/>
      <c r="N387" s="56"/>
      <c r="V387" s="74">
        <v>3</v>
      </c>
      <c r="W387" s="74" t="s">
        <v>109</v>
      </c>
      <c r="X387" s="13">
        <v>145.18</v>
      </c>
      <c r="Y387" s="13">
        <v>51.73</v>
      </c>
      <c r="Z387" s="13">
        <f t="shared" si="378"/>
        <v>196.91</v>
      </c>
      <c r="AB387" s="74">
        <v>3</v>
      </c>
      <c r="AC387" s="74" t="s">
        <v>109</v>
      </c>
      <c r="AD387" s="13">
        <v>187.02</v>
      </c>
      <c r="AE387" s="13">
        <v>66.64</v>
      </c>
      <c r="AF387" s="13">
        <f t="shared" si="379"/>
        <v>253.66000000000003</v>
      </c>
      <c r="AH387" s="89">
        <f t="shared" si="352"/>
        <v>-0.37862260720778529</v>
      </c>
      <c r="AI387" s="89">
        <f t="shared" si="353"/>
        <v>-0.37860144057623057</v>
      </c>
      <c r="AJ387" s="89">
        <f t="shared" si="354"/>
        <v>-0.37861704644011673</v>
      </c>
    </row>
    <row r="388" spans="1:36" x14ac:dyDescent="0.3">
      <c r="A388" s="21" t="s">
        <v>729</v>
      </c>
      <c r="B388" s="11" t="s">
        <v>730</v>
      </c>
      <c r="C388" s="12">
        <f t="shared" si="374"/>
        <v>3</v>
      </c>
      <c r="D388" s="41" t="str">
        <f t="shared" si="375"/>
        <v>un</v>
      </c>
      <c r="E388" s="41">
        <f>ROUND((X388*(1-$M$5))*(1+BDI!$C$21),2)</f>
        <v>221.31</v>
      </c>
      <c r="F388" s="41">
        <f>ROUND((Y388*(1-$N$5))*(1+BDI!$C$21),2)</f>
        <v>56.03</v>
      </c>
      <c r="G388" s="41">
        <f t="shared" si="349"/>
        <v>277.34000000000003</v>
      </c>
      <c r="H388" s="13">
        <f t="shared" si="376"/>
        <v>663.93000000000006</v>
      </c>
      <c r="I388" s="13">
        <f t="shared" si="377"/>
        <v>168.09</v>
      </c>
      <c r="J388" s="14">
        <f t="shared" si="380"/>
        <v>832.0200000000001</v>
      </c>
      <c r="M388" s="54"/>
      <c r="N388" s="55"/>
      <c r="V388" s="74">
        <v>3</v>
      </c>
      <c r="W388" s="74" t="s">
        <v>109</v>
      </c>
      <c r="X388" s="13">
        <v>276.47000000000003</v>
      </c>
      <c r="Y388" s="13">
        <v>69.989999999999995</v>
      </c>
      <c r="Z388" s="13">
        <f t="shared" si="378"/>
        <v>346.46000000000004</v>
      </c>
      <c r="AB388" s="74">
        <v>3</v>
      </c>
      <c r="AC388" s="74" t="s">
        <v>109</v>
      </c>
      <c r="AD388" s="13">
        <v>356.15</v>
      </c>
      <c r="AE388" s="13">
        <v>90.16</v>
      </c>
      <c r="AF388" s="13">
        <f t="shared" si="379"/>
        <v>446.30999999999995</v>
      </c>
      <c r="AH388" s="89">
        <f t="shared" si="352"/>
        <v>-0.37860452056717675</v>
      </c>
      <c r="AI388" s="89">
        <f t="shared" si="353"/>
        <v>-0.3785492457852706</v>
      </c>
      <c r="AJ388" s="89">
        <f t="shared" si="354"/>
        <v>-0.37859335439492714</v>
      </c>
    </row>
    <row r="389" spans="1:36" x14ac:dyDescent="0.3">
      <c r="A389" s="21" t="s">
        <v>731</v>
      </c>
      <c r="B389" s="11" t="s">
        <v>732</v>
      </c>
      <c r="C389" s="12">
        <f t="shared" si="374"/>
        <v>4</v>
      </c>
      <c r="D389" s="41" t="str">
        <f t="shared" si="375"/>
        <v>un</v>
      </c>
      <c r="E389" s="41">
        <f>ROUND((X389*(1-$M$5))*(1+BDI!$C$21),2)</f>
        <v>166.63</v>
      </c>
      <c r="F389" s="41">
        <f>ROUND((Y389*(1-$N$5))*(1+BDI!$C$21),2)</f>
        <v>29.71</v>
      </c>
      <c r="G389" s="41">
        <f t="shared" si="349"/>
        <v>196.34</v>
      </c>
      <c r="H389" s="13">
        <f t="shared" si="376"/>
        <v>666.52</v>
      </c>
      <c r="I389" s="13">
        <f t="shared" si="377"/>
        <v>118.84</v>
      </c>
      <c r="J389" s="14">
        <f t="shared" si="380"/>
        <v>785.36</v>
      </c>
      <c r="M389" s="54"/>
      <c r="N389" s="56"/>
      <c r="V389" s="74">
        <v>4</v>
      </c>
      <c r="W389" s="74" t="s">
        <v>109</v>
      </c>
      <c r="X389" s="13">
        <v>208.16</v>
      </c>
      <c r="Y389" s="13">
        <v>37.119999999999997</v>
      </c>
      <c r="Z389" s="13">
        <f t="shared" si="378"/>
        <v>245.28</v>
      </c>
      <c r="AB389" s="74">
        <v>4</v>
      </c>
      <c r="AC389" s="74" t="s">
        <v>109</v>
      </c>
      <c r="AD389" s="13">
        <v>268.14999999999998</v>
      </c>
      <c r="AE389" s="13">
        <v>47.82</v>
      </c>
      <c r="AF389" s="13">
        <f t="shared" si="379"/>
        <v>315.96999999999997</v>
      </c>
      <c r="AH389" s="89">
        <f t="shared" si="352"/>
        <v>-0.37859407048293858</v>
      </c>
      <c r="AI389" s="89">
        <f t="shared" si="353"/>
        <v>-0.37871183605186109</v>
      </c>
      <c r="AJ389" s="89">
        <f t="shared" si="354"/>
        <v>-0.37861189353419622</v>
      </c>
    </row>
    <row r="390" spans="1:36" x14ac:dyDescent="0.3">
      <c r="A390" s="21" t="s">
        <v>733</v>
      </c>
      <c r="B390" s="11" t="s">
        <v>734</v>
      </c>
      <c r="C390" s="12">
        <f t="shared" si="374"/>
        <v>21</v>
      </c>
      <c r="D390" s="41" t="str">
        <f t="shared" si="375"/>
        <v>un</v>
      </c>
      <c r="E390" s="41">
        <f>ROUND((X390*(1-$M$5))*(1+BDI!$C$21),2)</f>
        <v>129.04</v>
      </c>
      <c r="F390" s="41">
        <f>ROUND((Y390*(1-$N$5))*(1+BDI!$C$21),2)</f>
        <v>16.399999999999999</v>
      </c>
      <c r="G390" s="41">
        <f t="shared" ref="G390:G470" si="381">F390+E390</f>
        <v>145.44</v>
      </c>
      <c r="H390" s="13">
        <f t="shared" si="376"/>
        <v>2709.8399999999997</v>
      </c>
      <c r="I390" s="13">
        <f t="shared" si="377"/>
        <v>344.4</v>
      </c>
      <c r="J390" s="14">
        <f t="shared" si="380"/>
        <v>3054.24</v>
      </c>
      <c r="M390" s="54"/>
      <c r="N390" s="56"/>
      <c r="V390" s="74">
        <v>21</v>
      </c>
      <c r="W390" s="74" t="s">
        <v>109</v>
      </c>
      <c r="X390" s="13">
        <v>161.19999999999999</v>
      </c>
      <c r="Y390" s="13">
        <v>20.49</v>
      </c>
      <c r="Z390" s="13">
        <f t="shared" si="378"/>
        <v>181.69</v>
      </c>
      <c r="AB390" s="74">
        <v>21</v>
      </c>
      <c r="AC390" s="74" t="s">
        <v>109</v>
      </c>
      <c r="AD390" s="13">
        <v>207.66</v>
      </c>
      <c r="AE390" s="13">
        <v>26.4</v>
      </c>
      <c r="AF390" s="13">
        <f t="shared" si="379"/>
        <v>234.06</v>
      </c>
      <c r="AH390" s="89">
        <f t="shared" si="352"/>
        <v>-0.37859963401714347</v>
      </c>
      <c r="AI390" s="89">
        <f t="shared" si="353"/>
        <v>-0.37878787878787878</v>
      </c>
      <c r="AJ390" s="89">
        <f t="shared" si="354"/>
        <v>-0.37862086644450144</v>
      </c>
    </row>
    <row r="391" spans="1:36" x14ac:dyDescent="0.3">
      <c r="A391" s="21" t="s">
        <v>735</v>
      </c>
      <c r="B391" s="11" t="s">
        <v>736</v>
      </c>
      <c r="C391" s="12">
        <f t="shared" si="374"/>
        <v>3</v>
      </c>
      <c r="D391" s="41" t="str">
        <f t="shared" si="375"/>
        <v>un</v>
      </c>
      <c r="E391" s="41">
        <f>ROUND((X391*(1-$M$5))*(1+BDI!$C$21),2)</f>
        <v>677.27</v>
      </c>
      <c r="F391" s="41">
        <f>ROUND((Y391*(1-$N$5))*(1+BDI!$C$21),2)</f>
        <v>375.12</v>
      </c>
      <c r="G391" s="41">
        <f t="shared" si="381"/>
        <v>1052.3899999999999</v>
      </c>
      <c r="H391" s="13">
        <f t="shared" si="376"/>
        <v>2031.81</v>
      </c>
      <c r="I391" s="13">
        <f t="shared" si="377"/>
        <v>1125.3600000000001</v>
      </c>
      <c r="J391" s="14">
        <f t="shared" si="380"/>
        <v>3157.1699999999996</v>
      </c>
      <c r="M391" s="54"/>
      <c r="N391" s="56"/>
      <c r="V391" s="74">
        <v>3</v>
      </c>
      <c r="W391" s="74" t="s">
        <v>109</v>
      </c>
      <c r="X391" s="13">
        <v>846.07</v>
      </c>
      <c r="Y391" s="13">
        <v>468.62</v>
      </c>
      <c r="Z391" s="13">
        <f t="shared" si="378"/>
        <v>1314.69</v>
      </c>
      <c r="AB391" s="74">
        <v>3</v>
      </c>
      <c r="AC391" s="74" t="s">
        <v>109</v>
      </c>
      <c r="AD391" s="13">
        <v>1089.9100000000001</v>
      </c>
      <c r="AE391" s="13">
        <v>603.67999999999995</v>
      </c>
      <c r="AF391" s="13">
        <f t="shared" si="379"/>
        <v>1693.5900000000001</v>
      </c>
      <c r="AH391" s="89">
        <f t="shared" si="352"/>
        <v>-0.37860006789551437</v>
      </c>
      <c r="AI391" s="89">
        <f t="shared" si="353"/>
        <v>-0.37861118473363364</v>
      </c>
      <c r="AJ391" s="89">
        <f t="shared" si="354"/>
        <v>-0.37860403049144142</v>
      </c>
    </row>
    <row r="392" spans="1:36" x14ac:dyDescent="0.3">
      <c r="A392" s="21" t="s">
        <v>737</v>
      </c>
      <c r="B392" s="11" t="s">
        <v>738</v>
      </c>
      <c r="C392" s="12">
        <f t="shared" si="374"/>
        <v>1</v>
      </c>
      <c r="D392" s="41" t="str">
        <f t="shared" si="375"/>
        <v>un</v>
      </c>
      <c r="E392" s="41">
        <f>ROUND((X392*(1-$M$5))*(1+BDI!$C$21),2)</f>
        <v>1143.18</v>
      </c>
      <c r="F392" s="41">
        <f>ROUND((Y392*(1-$N$5))*(1+BDI!$C$21),2)</f>
        <v>375.12</v>
      </c>
      <c r="G392" s="41">
        <f t="shared" si="381"/>
        <v>1518.3000000000002</v>
      </c>
      <c r="H392" s="13">
        <f t="shared" si="376"/>
        <v>1143.18</v>
      </c>
      <c r="I392" s="13">
        <f t="shared" si="377"/>
        <v>375.12</v>
      </c>
      <c r="J392" s="14">
        <f t="shared" si="380"/>
        <v>1518.3000000000002</v>
      </c>
      <c r="M392" s="54"/>
      <c r="N392" s="56"/>
      <c r="V392" s="74">
        <v>1</v>
      </c>
      <c r="W392" s="74" t="s">
        <v>109</v>
      </c>
      <c r="X392" s="13">
        <v>1428.1</v>
      </c>
      <c r="Y392" s="13">
        <v>468.62</v>
      </c>
      <c r="Z392" s="13">
        <f t="shared" si="378"/>
        <v>1896.7199999999998</v>
      </c>
      <c r="AB392" s="74">
        <v>1</v>
      </c>
      <c r="AC392" s="74" t="s">
        <v>109</v>
      </c>
      <c r="AD392" s="13">
        <v>1839.68</v>
      </c>
      <c r="AE392" s="13">
        <v>603.67999999999995</v>
      </c>
      <c r="AF392" s="13">
        <f t="shared" si="379"/>
        <v>2443.36</v>
      </c>
      <c r="AH392" s="89">
        <f t="shared" si="352"/>
        <v>-0.37859845190467911</v>
      </c>
      <c r="AI392" s="89">
        <f t="shared" si="353"/>
        <v>-0.37861118473363364</v>
      </c>
      <c r="AJ392" s="89">
        <f t="shared" si="354"/>
        <v>-0.37860159779975111</v>
      </c>
    </row>
    <row r="393" spans="1:36" x14ac:dyDescent="0.3">
      <c r="A393" s="21" t="s">
        <v>739</v>
      </c>
      <c r="B393" s="11" t="s">
        <v>740</v>
      </c>
      <c r="C393" s="12">
        <f t="shared" ref="C393:C394" si="382">V393</f>
        <v>271</v>
      </c>
      <c r="D393" s="41" t="str">
        <f t="shared" ref="D393:D394" si="383">W393</f>
        <v>un</v>
      </c>
      <c r="E393" s="41">
        <f>ROUND((X393*(1-$M$5))*(1+BDI!$C$21),2)</f>
        <v>27.44</v>
      </c>
      <c r="F393" s="41">
        <f>ROUND((Y393*(1-$N$5))*(1+BDI!$C$21),2)</f>
        <v>85.26</v>
      </c>
      <c r="G393" s="41">
        <f t="shared" ref="G393:G394" si="384">F393+E393</f>
        <v>112.7</v>
      </c>
      <c r="H393" s="13">
        <f t="shared" ref="H393:H394" si="385">C393*E393</f>
        <v>7436.2400000000007</v>
      </c>
      <c r="I393" s="13">
        <f t="shared" ref="I393:I394" si="386">C393*F393</f>
        <v>23105.460000000003</v>
      </c>
      <c r="J393" s="14">
        <f t="shared" ref="J393:J394" si="387">SUM(E393:F393)*C393</f>
        <v>30541.7</v>
      </c>
      <c r="M393" s="54"/>
      <c r="N393" s="56"/>
      <c r="V393" s="74">
        <v>271</v>
      </c>
      <c r="W393" s="74" t="s">
        <v>109</v>
      </c>
      <c r="X393" s="13">
        <v>34.28</v>
      </c>
      <c r="Y393" s="13">
        <v>106.51</v>
      </c>
      <c r="Z393" s="13">
        <f t="shared" ref="Z393:Z394" si="388">SUM(X393:Y393)</f>
        <v>140.79000000000002</v>
      </c>
      <c r="AB393" s="74">
        <v>271</v>
      </c>
      <c r="AC393" s="74" t="s">
        <v>109</v>
      </c>
      <c r="AD393" s="13">
        <v>44.16</v>
      </c>
      <c r="AE393" s="13">
        <v>137.21</v>
      </c>
      <c r="AF393" s="13">
        <f t="shared" ref="AF393:AF394" si="389">SUM(AD393:AE393)</f>
        <v>181.37</v>
      </c>
      <c r="AH393" s="89">
        <f t="shared" ref="AH393:AH394" si="390">IF(E393=0,0,(E393/AD393)-1)</f>
        <v>-0.37862318840579701</v>
      </c>
      <c r="AI393" s="89">
        <f t="shared" ref="AI393:AI394" si="391">IF(F393=0,0,(F393/AE393)-1)</f>
        <v>-0.37861671889803949</v>
      </c>
      <c r="AJ393" s="89">
        <f t="shared" ref="AJ393:AJ394" si="392">IF(G393=0,0,(G393/AF393)-1)</f>
        <v>-0.37861829409494407</v>
      </c>
    </row>
    <row r="394" spans="1:36" ht="28.8" x14ac:dyDescent="0.3">
      <c r="A394" s="21" t="s">
        <v>741</v>
      </c>
      <c r="B394" s="11" t="s">
        <v>742</v>
      </c>
      <c r="C394" s="12">
        <f t="shared" si="382"/>
        <v>319</v>
      </c>
      <c r="D394" s="41" t="str">
        <f t="shared" si="383"/>
        <v>un</v>
      </c>
      <c r="E394" s="41">
        <f>ROUND((X394*(1-$M$5))*(1+BDI!$C$21),2)</f>
        <v>11.49</v>
      </c>
      <c r="F394" s="41">
        <f>ROUND((Y394*(1-$N$5))*(1+BDI!$C$21),2)</f>
        <v>24.36</v>
      </c>
      <c r="G394" s="41">
        <f t="shared" si="384"/>
        <v>35.85</v>
      </c>
      <c r="H394" s="13">
        <f t="shared" si="385"/>
        <v>3665.31</v>
      </c>
      <c r="I394" s="13">
        <f t="shared" si="386"/>
        <v>7770.84</v>
      </c>
      <c r="J394" s="14">
        <f t="shared" si="387"/>
        <v>11436.15</v>
      </c>
      <c r="M394" s="54"/>
      <c r="N394" s="56"/>
      <c r="V394" s="74">
        <v>319</v>
      </c>
      <c r="W394" s="74" t="s">
        <v>109</v>
      </c>
      <c r="X394" s="13">
        <v>14.35</v>
      </c>
      <c r="Y394" s="13">
        <v>30.43</v>
      </c>
      <c r="Z394" s="13">
        <f t="shared" si="388"/>
        <v>44.78</v>
      </c>
      <c r="AB394" s="74">
        <v>319</v>
      </c>
      <c r="AC394" s="74" t="s">
        <v>109</v>
      </c>
      <c r="AD394" s="13">
        <v>18.489999999999998</v>
      </c>
      <c r="AE394" s="13">
        <v>39.200000000000003</v>
      </c>
      <c r="AF394" s="13">
        <f t="shared" si="389"/>
        <v>57.69</v>
      </c>
      <c r="AH394" s="89">
        <f t="shared" si="390"/>
        <v>-0.37858301784748505</v>
      </c>
      <c r="AI394" s="89">
        <f t="shared" si="391"/>
        <v>-0.37857142857142867</v>
      </c>
      <c r="AJ394" s="89">
        <f t="shared" si="392"/>
        <v>-0.37857514300572015</v>
      </c>
    </row>
    <row r="395" spans="1:36" x14ac:dyDescent="0.3">
      <c r="A395" s="21" t="s">
        <v>743</v>
      </c>
      <c r="B395" s="11" t="s">
        <v>744</v>
      </c>
      <c r="C395" s="12">
        <f t="shared" si="374"/>
        <v>118</v>
      </c>
      <c r="D395" s="41" t="str">
        <f t="shared" si="375"/>
        <v>un</v>
      </c>
      <c r="E395" s="41">
        <f>ROUND((X395*(1-$M$5))*(1+BDI!$C$21),2)</f>
        <v>16.989999999999998</v>
      </c>
      <c r="F395" s="41">
        <f>ROUND((Y395*(1-$N$5))*(1+BDI!$C$21),2)</f>
        <v>38.979999999999997</v>
      </c>
      <c r="G395" s="41">
        <f t="shared" si="381"/>
        <v>55.97</v>
      </c>
      <c r="H395" s="13">
        <f t="shared" si="376"/>
        <v>2004.8199999999997</v>
      </c>
      <c r="I395" s="13">
        <f t="shared" si="377"/>
        <v>4599.6399999999994</v>
      </c>
      <c r="J395" s="14">
        <f t="shared" si="380"/>
        <v>6604.46</v>
      </c>
      <c r="M395" s="54"/>
      <c r="N395" s="56"/>
      <c r="V395" s="74">
        <v>118</v>
      </c>
      <c r="W395" s="74" t="s">
        <v>109</v>
      </c>
      <c r="X395" s="13">
        <v>21.23</v>
      </c>
      <c r="Y395" s="13">
        <v>48.69</v>
      </c>
      <c r="Z395" s="13">
        <f t="shared" si="378"/>
        <v>69.92</v>
      </c>
      <c r="AB395" s="74">
        <v>118</v>
      </c>
      <c r="AC395" s="74" t="s">
        <v>109</v>
      </c>
      <c r="AD395" s="13">
        <v>27.35</v>
      </c>
      <c r="AE395" s="13">
        <v>62.72</v>
      </c>
      <c r="AF395" s="13">
        <f t="shared" si="379"/>
        <v>90.07</v>
      </c>
      <c r="AH395" s="89">
        <f t="shared" si="352"/>
        <v>-0.37879341864716642</v>
      </c>
      <c r="AI395" s="89">
        <f t="shared" si="353"/>
        <v>-0.37850765306122458</v>
      </c>
      <c r="AJ395" s="89">
        <f t="shared" si="354"/>
        <v>-0.37859442655712217</v>
      </c>
    </row>
    <row r="396" spans="1:36" x14ac:dyDescent="0.3">
      <c r="A396" s="21" t="s">
        <v>745</v>
      </c>
      <c r="B396" s="11" t="s">
        <v>746</v>
      </c>
      <c r="C396" s="12">
        <f t="shared" si="374"/>
        <v>36</v>
      </c>
      <c r="D396" s="41" t="str">
        <f t="shared" si="375"/>
        <v>H</v>
      </c>
      <c r="E396" s="41">
        <f>ROUND((X396*(1-$M$5))*(1+BDI!$C$21),2)</f>
        <v>361.99</v>
      </c>
      <c r="F396" s="41">
        <f>ROUND((Y396*(1-$N$5))*(1+BDI!$C$21),2)</f>
        <v>48.72</v>
      </c>
      <c r="G396" s="41">
        <f t="shared" si="381"/>
        <v>410.71000000000004</v>
      </c>
      <c r="H396" s="13">
        <f t="shared" si="376"/>
        <v>13031.64</v>
      </c>
      <c r="I396" s="13">
        <f t="shared" si="377"/>
        <v>1753.92</v>
      </c>
      <c r="J396" s="14">
        <f t="shared" si="380"/>
        <v>14785.560000000001</v>
      </c>
      <c r="M396" s="54"/>
      <c r="N396" s="56"/>
      <c r="V396" s="74">
        <v>36</v>
      </c>
      <c r="W396" s="74" t="s">
        <v>747</v>
      </c>
      <c r="X396" s="13">
        <v>452.21</v>
      </c>
      <c r="Y396" s="13">
        <v>60.86</v>
      </c>
      <c r="Z396" s="13">
        <f t="shared" si="378"/>
        <v>513.06999999999994</v>
      </c>
      <c r="AB396" s="74">
        <v>36</v>
      </c>
      <c r="AC396" s="74" t="s">
        <v>747</v>
      </c>
      <c r="AD396" s="13">
        <v>582.54</v>
      </c>
      <c r="AE396" s="13">
        <v>78.400000000000006</v>
      </c>
      <c r="AF396" s="13">
        <f t="shared" si="379"/>
        <v>660.93999999999994</v>
      </c>
      <c r="AH396" s="89">
        <f t="shared" si="352"/>
        <v>-0.37860061111683307</v>
      </c>
      <c r="AI396" s="89">
        <f t="shared" si="353"/>
        <v>-0.37857142857142867</v>
      </c>
      <c r="AJ396" s="89">
        <f t="shared" si="354"/>
        <v>-0.37859714951432799</v>
      </c>
    </row>
    <row r="397" spans="1:36" x14ac:dyDescent="0.3">
      <c r="A397" s="21" t="s">
        <v>748</v>
      </c>
      <c r="B397" s="11" t="s">
        <v>749</v>
      </c>
      <c r="C397" s="12">
        <f t="shared" si="374"/>
        <v>29</v>
      </c>
      <c r="D397" s="41" t="str">
        <f t="shared" si="375"/>
        <v>un</v>
      </c>
      <c r="E397" s="41">
        <f>ROUND((X397*(1-$M$5))*(1+BDI!$C$21),2)</f>
        <v>296.24</v>
      </c>
      <c r="F397" s="41">
        <f>ROUND((Y397*(1-$N$5))*(1+BDI!$C$21),2)</f>
        <v>38.44</v>
      </c>
      <c r="G397" s="41">
        <f t="shared" si="381"/>
        <v>334.68</v>
      </c>
      <c r="H397" s="13">
        <f t="shared" si="376"/>
        <v>8590.9600000000009</v>
      </c>
      <c r="I397" s="13">
        <f t="shared" si="377"/>
        <v>1114.76</v>
      </c>
      <c r="J397" s="14">
        <f t="shared" si="380"/>
        <v>9705.7199999999993</v>
      </c>
      <c r="M397" s="54"/>
      <c r="N397" s="56"/>
      <c r="V397" s="74">
        <v>29</v>
      </c>
      <c r="W397" s="74" t="s">
        <v>109</v>
      </c>
      <c r="X397" s="13">
        <v>370.07</v>
      </c>
      <c r="Y397" s="13">
        <v>48.02</v>
      </c>
      <c r="Z397" s="13">
        <f t="shared" si="378"/>
        <v>418.09</v>
      </c>
      <c r="AB397" s="74">
        <v>29</v>
      </c>
      <c r="AC397" s="74" t="s">
        <v>109</v>
      </c>
      <c r="AD397" s="13">
        <v>476.72</v>
      </c>
      <c r="AE397" s="13">
        <v>61.86</v>
      </c>
      <c r="AF397" s="13">
        <f t="shared" si="379"/>
        <v>538.58000000000004</v>
      </c>
      <c r="AH397" s="89">
        <f t="shared" si="352"/>
        <v>-0.37858701124349725</v>
      </c>
      <c r="AI397" s="89">
        <f t="shared" si="353"/>
        <v>-0.37859683155512447</v>
      </c>
      <c r="AJ397" s="89">
        <f t="shared" si="354"/>
        <v>-0.3785881391808088</v>
      </c>
    </row>
    <row r="398" spans="1:36" x14ac:dyDescent="0.3">
      <c r="A398" s="21" t="s">
        <v>750</v>
      </c>
      <c r="B398" s="11" t="s">
        <v>751</v>
      </c>
      <c r="C398" s="12">
        <f t="shared" si="374"/>
        <v>25</v>
      </c>
      <c r="D398" s="41" t="str">
        <f t="shared" si="375"/>
        <v>un</v>
      </c>
      <c r="E398" s="41">
        <f>ROUND((X398*(1-$M$5))*(1+BDI!$C$21),2)</f>
        <v>7.49</v>
      </c>
      <c r="F398" s="41">
        <f>ROUND((Y398*(1-$N$5))*(1+BDI!$C$21),2)</f>
        <v>24.36</v>
      </c>
      <c r="G398" s="41">
        <f t="shared" si="381"/>
        <v>31.85</v>
      </c>
      <c r="H398" s="13">
        <f t="shared" si="376"/>
        <v>187.25</v>
      </c>
      <c r="I398" s="13">
        <f t="shared" si="377"/>
        <v>609</v>
      </c>
      <c r="J398" s="14">
        <f t="shared" si="380"/>
        <v>796.25</v>
      </c>
      <c r="M398" s="54"/>
      <c r="N398" s="56"/>
      <c r="V398" s="74">
        <v>25</v>
      </c>
      <c r="W398" s="74" t="s">
        <v>109</v>
      </c>
      <c r="X398" s="13">
        <v>9.36</v>
      </c>
      <c r="Y398" s="13">
        <v>30.43</v>
      </c>
      <c r="Z398" s="13">
        <f t="shared" si="378"/>
        <v>39.79</v>
      </c>
      <c r="AB398" s="74">
        <v>25</v>
      </c>
      <c r="AC398" s="74" t="s">
        <v>109</v>
      </c>
      <c r="AD398" s="13">
        <v>12.06</v>
      </c>
      <c r="AE398" s="13">
        <v>39.200000000000003</v>
      </c>
      <c r="AF398" s="13">
        <f t="shared" si="379"/>
        <v>51.260000000000005</v>
      </c>
      <c r="AH398" s="89">
        <f t="shared" si="352"/>
        <v>-0.37893864013266998</v>
      </c>
      <c r="AI398" s="89">
        <f t="shared" si="353"/>
        <v>-0.37857142857142867</v>
      </c>
      <c r="AJ398" s="89">
        <f t="shared" si="354"/>
        <v>-0.37865782286383143</v>
      </c>
    </row>
    <row r="399" spans="1:36" x14ac:dyDescent="0.3">
      <c r="A399" s="21" t="s">
        <v>752</v>
      </c>
      <c r="B399" s="11" t="s">
        <v>753</v>
      </c>
      <c r="C399" s="12">
        <f t="shared" si="374"/>
        <v>93</v>
      </c>
      <c r="D399" s="41" t="str">
        <f t="shared" si="375"/>
        <v>un</v>
      </c>
      <c r="E399" s="41">
        <f>ROUND((X399*(1-$M$5))*(1+BDI!$C$21),2)</f>
        <v>91.43</v>
      </c>
      <c r="F399" s="41">
        <f>ROUND((Y399*(1-$N$5))*(1+BDI!$C$21),2)</f>
        <v>146.15</v>
      </c>
      <c r="G399" s="41">
        <f t="shared" si="381"/>
        <v>237.58</v>
      </c>
      <c r="H399" s="13">
        <f t="shared" si="376"/>
        <v>8502.99</v>
      </c>
      <c r="I399" s="13">
        <f t="shared" si="377"/>
        <v>13591.95</v>
      </c>
      <c r="J399" s="14">
        <f t="shared" si="380"/>
        <v>22094.940000000002</v>
      </c>
      <c r="M399" s="54"/>
      <c r="N399" s="56"/>
      <c r="V399" s="74">
        <v>93</v>
      </c>
      <c r="W399" s="74" t="s">
        <v>109</v>
      </c>
      <c r="X399" s="13">
        <v>114.22</v>
      </c>
      <c r="Y399" s="13">
        <v>182.58</v>
      </c>
      <c r="Z399" s="13">
        <f t="shared" si="378"/>
        <v>296.8</v>
      </c>
      <c r="AB399" s="74">
        <v>93</v>
      </c>
      <c r="AC399" s="74" t="s">
        <v>109</v>
      </c>
      <c r="AD399" s="13">
        <v>147.13999999999999</v>
      </c>
      <c r="AE399" s="13">
        <v>235.2</v>
      </c>
      <c r="AF399" s="13">
        <f t="shared" si="379"/>
        <v>382.34</v>
      </c>
      <c r="AH399" s="89">
        <f t="shared" si="352"/>
        <v>-0.37861900231072443</v>
      </c>
      <c r="AI399" s="89">
        <f t="shared" si="353"/>
        <v>-0.37861394557823125</v>
      </c>
      <c r="AJ399" s="89">
        <f t="shared" si="354"/>
        <v>-0.37861589161479303</v>
      </c>
    </row>
    <row r="400" spans="1:36" x14ac:dyDescent="0.3">
      <c r="A400" s="21" t="s">
        <v>754</v>
      </c>
      <c r="B400" s="11" t="s">
        <v>755</v>
      </c>
      <c r="C400" s="12">
        <f t="shared" si="374"/>
        <v>6</v>
      </c>
      <c r="D400" s="41" t="str">
        <f t="shared" si="375"/>
        <v>un</v>
      </c>
      <c r="E400" s="41">
        <f>ROUND((X400*(1-$M$5))*(1+BDI!$C$21),2)</f>
        <v>65.069999999999993</v>
      </c>
      <c r="F400" s="41">
        <f>ROUND((Y400*(1-$N$5))*(1+BDI!$C$21),2)</f>
        <v>36.85</v>
      </c>
      <c r="G400" s="41">
        <f t="shared" si="381"/>
        <v>101.91999999999999</v>
      </c>
      <c r="H400" s="13">
        <f t="shared" si="376"/>
        <v>390.41999999999996</v>
      </c>
      <c r="I400" s="13">
        <f t="shared" si="377"/>
        <v>221.10000000000002</v>
      </c>
      <c r="J400" s="14">
        <f t="shared" si="380"/>
        <v>611.52</v>
      </c>
      <c r="M400" s="54"/>
      <c r="N400" s="56"/>
      <c r="V400" s="74">
        <v>6</v>
      </c>
      <c r="W400" s="74" t="s">
        <v>109</v>
      </c>
      <c r="X400" s="13">
        <v>81.290000000000006</v>
      </c>
      <c r="Y400" s="13">
        <v>46.04</v>
      </c>
      <c r="Z400" s="13">
        <f t="shared" si="378"/>
        <v>127.33000000000001</v>
      </c>
      <c r="AB400" s="74">
        <v>6</v>
      </c>
      <c r="AC400" s="74" t="s">
        <v>109</v>
      </c>
      <c r="AD400" s="13">
        <v>104.72</v>
      </c>
      <c r="AE400" s="13">
        <v>59.31</v>
      </c>
      <c r="AF400" s="13">
        <f t="shared" si="379"/>
        <v>164.03</v>
      </c>
      <c r="AH400" s="89">
        <f t="shared" si="352"/>
        <v>-0.37862872421695959</v>
      </c>
      <c r="AI400" s="89">
        <f t="shared" si="353"/>
        <v>-0.37868824818748947</v>
      </c>
      <c r="AJ400" s="89">
        <f t="shared" si="354"/>
        <v>-0.37865024690605387</v>
      </c>
    </row>
    <row r="401" spans="1:36" x14ac:dyDescent="0.3">
      <c r="A401" s="21" t="s">
        <v>756</v>
      </c>
      <c r="B401" s="11" t="s">
        <v>757</v>
      </c>
      <c r="C401" s="12">
        <f t="shared" si="374"/>
        <v>1</v>
      </c>
      <c r="D401" s="41" t="str">
        <f t="shared" si="375"/>
        <v>un</v>
      </c>
      <c r="E401" s="41">
        <f>ROUND((X401*(1-$M$5))*(1+BDI!$C$21),2)</f>
        <v>27.82</v>
      </c>
      <c r="F401" s="41">
        <f>ROUND((Y401*(1-$N$5))*(1+BDI!$C$21),2)</f>
        <v>24.36</v>
      </c>
      <c r="G401" s="41">
        <f t="shared" si="381"/>
        <v>52.18</v>
      </c>
      <c r="H401" s="13">
        <f t="shared" si="376"/>
        <v>27.82</v>
      </c>
      <c r="I401" s="13">
        <f t="shared" si="377"/>
        <v>24.36</v>
      </c>
      <c r="J401" s="14">
        <f t="shared" si="380"/>
        <v>52.18</v>
      </c>
      <c r="M401" s="54"/>
      <c r="N401" s="56"/>
      <c r="V401" s="74">
        <v>1</v>
      </c>
      <c r="W401" s="74" t="s">
        <v>109</v>
      </c>
      <c r="X401" s="13">
        <v>34.76</v>
      </c>
      <c r="Y401" s="13">
        <v>30.43</v>
      </c>
      <c r="Z401" s="13">
        <f t="shared" si="378"/>
        <v>65.19</v>
      </c>
      <c r="AB401" s="74">
        <v>1</v>
      </c>
      <c r="AC401" s="74" t="s">
        <v>109</v>
      </c>
      <c r="AD401" s="13">
        <v>44.78</v>
      </c>
      <c r="AE401" s="13">
        <v>39.200000000000003</v>
      </c>
      <c r="AF401" s="13">
        <f t="shared" si="379"/>
        <v>83.98</v>
      </c>
      <c r="AH401" s="89">
        <f t="shared" si="352"/>
        <v>-0.37874050915587321</v>
      </c>
      <c r="AI401" s="89">
        <f t="shared" si="353"/>
        <v>-0.37857142857142867</v>
      </c>
      <c r="AJ401" s="89">
        <f t="shared" si="354"/>
        <v>-0.37866158609192668</v>
      </c>
    </row>
    <row r="402" spans="1:36" x14ac:dyDescent="0.3">
      <c r="A402" s="21" t="s">
        <v>758</v>
      </c>
      <c r="B402" s="11" t="s">
        <v>759</v>
      </c>
      <c r="C402" s="12">
        <f t="shared" si="374"/>
        <v>1</v>
      </c>
      <c r="D402" s="41" t="str">
        <f t="shared" si="375"/>
        <v>un</v>
      </c>
      <c r="E402" s="41">
        <f>ROUND((X402*(1-$M$5))*(1+BDI!$C$21),2)</f>
        <v>43.62</v>
      </c>
      <c r="F402" s="41">
        <f>ROUND((Y402*(1-$N$5))*(1+BDI!$C$21),2)</f>
        <v>85.26</v>
      </c>
      <c r="G402" s="41">
        <f t="shared" si="381"/>
        <v>128.88</v>
      </c>
      <c r="H402" s="13">
        <f t="shared" si="376"/>
        <v>43.62</v>
      </c>
      <c r="I402" s="13">
        <f t="shared" si="377"/>
        <v>85.26</v>
      </c>
      <c r="J402" s="14">
        <f t="shared" si="380"/>
        <v>128.88</v>
      </c>
      <c r="M402" s="54"/>
      <c r="N402" s="56"/>
      <c r="V402" s="74">
        <v>1</v>
      </c>
      <c r="W402" s="74" t="s">
        <v>109</v>
      </c>
      <c r="X402" s="13">
        <v>54.49</v>
      </c>
      <c r="Y402" s="13">
        <v>106.51</v>
      </c>
      <c r="Z402" s="13">
        <f t="shared" si="378"/>
        <v>161</v>
      </c>
      <c r="AB402" s="74">
        <v>1</v>
      </c>
      <c r="AC402" s="74" t="s">
        <v>109</v>
      </c>
      <c r="AD402" s="13">
        <v>70.19</v>
      </c>
      <c r="AE402" s="13">
        <v>137.21</v>
      </c>
      <c r="AF402" s="13">
        <f t="shared" si="379"/>
        <v>207.4</v>
      </c>
      <c r="AH402" s="89">
        <f t="shared" si="352"/>
        <v>-0.37854395212993308</v>
      </c>
      <c r="AI402" s="89">
        <f t="shared" si="353"/>
        <v>-0.37861671889803949</v>
      </c>
      <c r="AJ402" s="89">
        <f t="shared" si="354"/>
        <v>-0.37859209257473481</v>
      </c>
    </row>
    <row r="403" spans="1:36" x14ac:dyDescent="0.3">
      <c r="A403" s="19">
        <v>21</v>
      </c>
      <c r="B403" s="20" t="s">
        <v>760</v>
      </c>
      <c r="C403" s="76"/>
      <c r="D403" s="58"/>
      <c r="E403" s="58"/>
      <c r="F403" s="58"/>
      <c r="G403" s="58"/>
      <c r="H403" s="24">
        <f t="shared" ref="H403:I403" si="393">SUM(H404:H430)</f>
        <v>18234.530000000006</v>
      </c>
      <c r="I403" s="24">
        <f t="shared" si="393"/>
        <v>4725.2099999999928</v>
      </c>
      <c r="J403" s="24">
        <f>SUM(J404:J430)</f>
        <v>22959.739999999998</v>
      </c>
      <c r="M403" s="54"/>
      <c r="N403" s="56"/>
      <c r="V403" s="75"/>
      <c r="W403" s="75"/>
      <c r="X403" s="23"/>
      <c r="Y403" s="23"/>
      <c r="Z403" s="23"/>
      <c r="AB403" s="75"/>
      <c r="AC403" s="75"/>
      <c r="AD403" s="23"/>
      <c r="AE403" s="23"/>
      <c r="AF403" s="23"/>
      <c r="AH403" s="89">
        <f t="shared" si="352"/>
        <v>0</v>
      </c>
      <c r="AI403" s="89">
        <f t="shared" si="353"/>
        <v>0</v>
      </c>
      <c r="AJ403" s="89">
        <f t="shared" si="354"/>
        <v>0</v>
      </c>
    </row>
    <row r="404" spans="1:36" x14ac:dyDescent="0.3">
      <c r="A404" s="21" t="s">
        <v>761</v>
      </c>
      <c r="B404" s="11" t="s">
        <v>762</v>
      </c>
      <c r="C404" s="12">
        <f t="shared" ref="C404:C430" si="394">V404</f>
        <v>332</v>
      </c>
      <c r="D404" s="41" t="str">
        <f t="shared" ref="D404:D430" si="395">W404</f>
        <v>m</v>
      </c>
      <c r="E404" s="41">
        <f>ROUND((X404*(1-$M$5))*(1+BDI!$C$21),2)</f>
        <v>28.45</v>
      </c>
      <c r="F404" s="41">
        <f>ROUND((Y404*(1-$N$5))*(1+BDI!$C$21),2)</f>
        <v>4.87</v>
      </c>
      <c r="G404" s="41">
        <f t="shared" si="381"/>
        <v>33.32</v>
      </c>
      <c r="H404" s="13">
        <f t="shared" ref="H404:H430" si="396">C404*E404</f>
        <v>9445.4</v>
      </c>
      <c r="I404" s="13">
        <f t="shared" ref="I404:I430" si="397">C404*F404</f>
        <v>1616.8400000000001</v>
      </c>
      <c r="J404" s="14">
        <f t="shared" si="380"/>
        <v>11062.24</v>
      </c>
      <c r="M404" s="54"/>
      <c r="N404" s="56"/>
      <c r="V404" s="74">
        <v>332</v>
      </c>
      <c r="W404" s="74" t="s">
        <v>75</v>
      </c>
      <c r="X404" s="13">
        <v>35.54</v>
      </c>
      <c r="Y404" s="13">
        <v>6.09</v>
      </c>
      <c r="Z404" s="13">
        <f t="shared" ref="Z404:Z430" si="398">SUM(X404:Y404)</f>
        <v>41.629999999999995</v>
      </c>
      <c r="AB404" s="74">
        <v>332</v>
      </c>
      <c r="AC404" s="74" t="s">
        <v>75</v>
      </c>
      <c r="AD404" s="13">
        <v>45.78</v>
      </c>
      <c r="AE404" s="13">
        <v>7.85</v>
      </c>
      <c r="AF404" s="13">
        <f t="shared" ref="AF404:AF430" si="399">SUM(AD404:AE404)</f>
        <v>53.63</v>
      </c>
      <c r="AH404" s="89">
        <f t="shared" si="352"/>
        <v>-0.3785495849716034</v>
      </c>
      <c r="AI404" s="89">
        <f t="shared" si="353"/>
        <v>-0.37961783439490437</v>
      </c>
      <c r="AJ404" s="89">
        <f t="shared" si="354"/>
        <v>-0.37870594816334147</v>
      </c>
    </row>
    <row r="405" spans="1:36" x14ac:dyDescent="0.3">
      <c r="A405" s="21" t="s">
        <v>763</v>
      </c>
      <c r="B405" s="11" t="s">
        <v>764</v>
      </c>
      <c r="C405" s="12">
        <f t="shared" si="394"/>
        <v>7</v>
      </c>
      <c r="D405" s="41" t="str">
        <f t="shared" si="395"/>
        <v>un</v>
      </c>
      <c r="E405" s="41">
        <f>ROUND((X405*(1-$M$5))*(1+BDI!$C$21),2)</f>
        <v>156.33000000000001</v>
      </c>
      <c r="F405" s="41">
        <f>ROUND((Y405*(1-$N$5))*(1+BDI!$C$21),2)</f>
        <v>24.36</v>
      </c>
      <c r="G405" s="41">
        <f t="shared" si="381"/>
        <v>180.69</v>
      </c>
      <c r="H405" s="13">
        <f t="shared" si="396"/>
        <v>1094.3100000000002</v>
      </c>
      <c r="I405" s="13">
        <f t="shared" si="397"/>
        <v>170.51999999999998</v>
      </c>
      <c r="J405" s="14">
        <f t="shared" si="380"/>
        <v>1264.83</v>
      </c>
      <c r="M405" s="54"/>
      <c r="N405" s="56"/>
      <c r="V405" s="74">
        <v>7</v>
      </c>
      <c r="W405" s="74" t="s">
        <v>109</v>
      </c>
      <c r="X405" s="13">
        <v>195.29</v>
      </c>
      <c r="Y405" s="13">
        <v>30.43</v>
      </c>
      <c r="Z405" s="13">
        <f t="shared" si="398"/>
        <v>225.72</v>
      </c>
      <c r="AB405" s="74">
        <v>7</v>
      </c>
      <c r="AC405" s="74" t="s">
        <v>109</v>
      </c>
      <c r="AD405" s="13">
        <v>251.57</v>
      </c>
      <c r="AE405" s="13">
        <v>39.200000000000003</v>
      </c>
      <c r="AF405" s="13">
        <f t="shared" si="399"/>
        <v>290.77</v>
      </c>
      <c r="AH405" s="89">
        <f t="shared" si="352"/>
        <v>-0.37858250188814235</v>
      </c>
      <c r="AI405" s="89">
        <f t="shared" si="353"/>
        <v>-0.37857142857142867</v>
      </c>
      <c r="AJ405" s="89">
        <f t="shared" si="354"/>
        <v>-0.37858100904494962</v>
      </c>
    </row>
    <row r="406" spans="1:36" x14ac:dyDescent="0.3">
      <c r="A406" s="21" t="s">
        <v>765</v>
      </c>
      <c r="B406" s="11" t="s">
        <v>766</v>
      </c>
      <c r="C406" s="12">
        <f t="shared" si="394"/>
        <v>5</v>
      </c>
      <c r="D406" s="41" t="str">
        <f t="shared" si="395"/>
        <v>un</v>
      </c>
      <c r="E406" s="41">
        <f>ROUND((X406*(1-$M$5))*(1+BDI!$C$21),2)</f>
        <v>90.77</v>
      </c>
      <c r="F406" s="41">
        <f>ROUND((Y406*(1-$N$5))*(1+BDI!$C$21),2)</f>
        <v>24.36</v>
      </c>
      <c r="G406" s="41">
        <f t="shared" si="381"/>
        <v>115.13</v>
      </c>
      <c r="H406" s="13">
        <f t="shared" si="396"/>
        <v>453.84999999999997</v>
      </c>
      <c r="I406" s="13">
        <f t="shared" si="397"/>
        <v>121.8</v>
      </c>
      <c r="J406" s="14">
        <f t="shared" si="380"/>
        <v>575.65</v>
      </c>
      <c r="M406" s="54"/>
      <c r="N406" s="56"/>
      <c r="V406" s="74">
        <v>5</v>
      </c>
      <c r="W406" s="74" t="s">
        <v>109</v>
      </c>
      <c r="X406" s="13">
        <v>113.39</v>
      </c>
      <c r="Y406" s="13">
        <v>30.43</v>
      </c>
      <c r="Z406" s="13">
        <f t="shared" si="398"/>
        <v>143.82</v>
      </c>
      <c r="AB406" s="74">
        <v>5</v>
      </c>
      <c r="AC406" s="74" t="s">
        <v>109</v>
      </c>
      <c r="AD406" s="13">
        <v>146.07</v>
      </c>
      <c r="AE406" s="13">
        <v>39.200000000000003</v>
      </c>
      <c r="AF406" s="13">
        <f t="shared" si="399"/>
        <v>185.26999999999998</v>
      </c>
      <c r="AH406" s="89">
        <f t="shared" si="352"/>
        <v>-0.37858560963921406</v>
      </c>
      <c r="AI406" s="89">
        <f t="shared" si="353"/>
        <v>-0.37857142857142867</v>
      </c>
      <c r="AJ406" s="89">
        <f t="shared" si="354"/>
        <v>-0.37858260916500241</v>
      </c>
    </row>
    <row r="407" spans="1:36" x14ac:dyDescent="0.3">
      <c r="A407" s="21" t="s">
        <v>767</v>
      </c>
      <c r="B407" s="11" t="s">
        <v>768</v>
      </c>
      <c r="C407" s="12">
        <f t="shared" ref="C407:C417" si="400">V407</f>
        <v>1</v>
      </c>
      <c r="D407" s="41" t="str">
        <f t="shared" ref="D407:D417" si="401">W407</f>
        <v>un</v>
      </c>
      <c r="E407" s="41">
        <f>ROUND((X407*(1-$M$5))*(1+BDI!$C$21),2)</f>
        <v>529.44000000000005</v>
      </c>
      <c r="F407" s="41">
        <f>ROUND((Y407*(1-$N$5))*(1+BDI!$C$21),2)</f>
        <v>56.03</v>
      </c>
      <c r="G407" s="41">
        <f t="shared" ref="G407:G417" si="402">F407+E407</f>
        <v>585.47</v>
      </c>
      <c r="H407" s="13">
        <f t="shared" ref="H407:H417" si="403">C407*E407</f>
        <v>529.44000000000005</v>
      </c>
      <c r="I407" s="13">
        <f t="shared" ref="I407:I417" si="404">C407*F407</f>
        <v>56.03</v>
      </c>
      <c r="J407" s="14">
        <f t="shared" ref="J407:J417" si="405">SUM(E407:F407)*C407</f>
        <v>585.47</v>
      </c>
      <c r="M407" s="54"/>
      <c r="N407" s="56"/>
      <c r="V407" s="74">
        <v>1</v>
      </c>
      <c r="W407" s="74" t="s">
        <v>109</v>
      </c>
      <c r="X407" s="13">
        <v>661.4</v>
      </c>
      <c r="Y407" s="13">
        <v>69.989999999999995</v>
      </c>
      <c r="Z407" s="13">
        <f t="shared" ref="Z407:Z417" si="406">SUM(X407:Y407)</f>
        <v>731.39</v>
      </c>
      <c r="AB407" s="74">
        <v>1</v>
      </c>
      <c r="AC407" s="74" t="s">
        <v>109</v>
      </c>
      <c r="AD407" s="13">
        <v>852.02</v>
      </c>
      <c r="AE407" s="13">
        <v>90.16</v>
      </c>
      <c r="AF407" s="13">
        <f t="shared" ref="AF407:AF417" si="407">SUM(AD407:AE407)</f>
        <v>942.18</v>
      </c>
      <c r="AH407" s="89">
        <f t="shared" ref="AH407:AH417" si="408">IF(E407=0,0,(E407/AD407)-1)</f>
        <v>-0.37860613600619697</v>
      </c>
      <c r="AI407" s="89">
        <f t="shared" ref="AI407:AI417" si="409">IF(F407=0,0,(F407/AE407)-1)</f>
        <v>-0.3785492457852706</v>
      </c>
      <c r="AJ407" s="89">
        <f t="shared" ref="AJ407:AJ417" si="410">IF(G407=0,0,(G407/AF407)-1)</f>
        <v>-0.37860069201214197</v>
      </c>
    </row>
    <row r="408" spans="1:36" x14ac:dyDescent="0.3">
      <c r="A408" s="21" t="s">
        <v>769</v>
      </c>
      <c r="B408" s="11" t="s">
        <v>770</v>
      </c>
      <c r="C408" s="12">
        <f t="shared" si="400"/>
        <v>7</v>
      </c>
      <c r="D408" s="41" t="str">
        <f t="shared" si="401"/>
        <v>un</v>
      </c>
      <c r="E408" s="41">
        <f>ROUND((X408*(1-$M$5))*(1+BDI!$C$21),2)</f>
        <v>25.21</v>
      </c>
      <c r="F408" s="41">
        <f>ROUND((Y408*(1-$N$5))*(1+BDI!$C$21),2)</f>
        <v>4.87</v>
      </c>
      <c r="G408" s="41">
        <f t="shared" si="402"/>
        <v>30.080000000000002</v>
      </c>
      <c r="H408" s="13">
        <f t="shared" si="403"/>
        <v>176.47</v>
      </c>
      <c r="I408" s="13">
        <f t="shared" si="404"/>
        <v>34.090000000000003</v>
      </c>
      <c r="J408" s="14">
        <f t="shared" si="405"/>
        <v>210.56</v>
      </c>
      <c r="M408" s="54"/>
      <c r="N408" s="56"/>
      <c r="V408" s="74">
        <v>7</v>
      </c>
      <c r="W408" s="74" t="s">
        <v>109</v>
      </c>
      <c r="X408" s="13">
        <v>31.49</v>
      </c>
      <c r="Y408" s="13">
        <v>6.09</v>
      </c>
      <c r="Z408" s="13">
        <f t="shared" si="406"/>
        <v>37.58</v>
      </c>
      <c r="AB408" s="74">
        <v>7</v>
      </c>
      <c r="AC408" s="74" t="s">
        <v>109</v>
      </c>
      <c r="AD408" s="13">
        <v>40.57</v>
      </c>
      <c r="AE408" s="13">
        <v>7.85</v>
      </c>
      <c r="AF408" s="13">
        <f t="shared" si="407"/>
        <v>48.42</v>
      </c>
      <c r="AH408" s="89">
        <f t="shared" si="408"/>
        <v>-0.37860488045353713</v>
      </c>
      <c r="AI408" s="89">
        <f t="shared" si="409"/>
        <v>-0.37961783439490437</v>
      </c>
      <c r="AJ408" s="89">
        <f t="shared" si="410"/>
        <v>-0.3787691036761669</v>
      </c>
    </row>
    <row r="409" spans="1:36" x14ac:dyDescent="0.3">
      <c r="A409" s="21" t="s">
        <v>771</v>
      </c>
      <c r="B409" s="11" t="s">
        <v>772</v>
      </c>
      <c r="C409" s="12">
        <f t="shared" si="400"/>
        <v>6</v>
      </c>
      <c r="D409" s="41" t="str">
        <f t="shared" si="401"/>
        <v>un</v>
      </c>
      <c r="E409" s="41">
        <f>ROUND((X409*(1-$M$5))*(1+BDI!$C$21),2)</f>
        <v>475.57</v>
      </c>
      <c r="F409" s="41">
        <f>ROUND((Y409*(1-$N$5))*(1+BDI!$C$21),2)</f>
        <v>4.87</v>
      </c>
      <c r="G409" s="41">
        <f t="shared" si="402"/>
        <v>480.44</v>
      </c>
      <c r="H409" s="13">
        <f t="shared" si="403"/>
        <v>2853.42</v>
      </c>
      <c r="I409" s="13">
        <f t="shared" si="404"/>
        <v>29.22</v>
      </c>
      <c r="J409" s="14">
        <f t="shared" si="405"/>
        <v>2882.64</v>
      </c>
      <c r="M409" s="54"/>
      <c r="N409" s="56"/>
      <c r="V409" s="74">
        <v>6</v>
      </c>
      <c r="W409" s="74" t="s">
        <v>109</v>
      </c>
      <c r="X409" s="13">
        <v>594.1</v>
      </c>
      <c r="Y409" s="13">
        <v>6.09</v>
      </c>
      <c r="Z409" s="13">
        <f t="shared" si="406"/>
        <v>600.19000000000005</v>
      </c>
      <c r="AB409" s="74">
        <v>6</v>
      </c>
      <c r="AC409" s="74" t="s">
        <v>109</v>
      </c>
      <c r="AD409" s="13">
        <v>765.32</v>
      </c>
      <c r="AE409" s="13">
        <v>7.85</v>
      </c>
      <c r="AF409" s="13">
        <f t="shared" si="407"/>
        <v>773.17000000000007</v>
      </c>
      <c r="AH409" s="89">
        <f t="shared" si="408"/>
        <v>-0.37859980139026816</v>
      </c>
      <c r="AI409" s="89">
        <f t="shared" si="409"/>
        <v>-0.37961783439490437</v>
      </c>
      <c r="AJ409" s="89">
        <f t="shared" si="410"/>
        <v>-0.37861013748593464</v>
      </c>
    </row>
    <row r="410" spans="1:36" x14ac:dyDescent="0.3">
      <c r="A410" s="21" t="s">
        <v>773</v>
      </c>
      <c r="B410" s="11" t="s">
        <v>774</v>
      </c>
      <c r="C410" s="12">
        <f t="shared" si="400"/>
        <v>9</v>
      </c>
      <c r="D410" s="41" t="str">
        <f t="shared" si="401"/>
        <v>un</v>
      </c>
      <c r="E410" s="41">
        <f>ROUND((X410*(1-$M$5))*(1+BDI!$C$21),2)</f>
        <v>14.54</v>
      </c>
      <c r="F410" s="41">
        <f>ROUND((Y410*(1-$N$5))*(1+BDI!$C$21),2)</f>
        <v>18.12</v>
      </c>
      <c r="G410" s="41">
        <f t="shared" si="402"/>
        <v>32.659999999999997</v>
      </c>
      <c r="H410" s="13">
        <f t="shared" si="403"/>
        <v>130.85999999999999</v>
      </c>
      <c r="I410" s="13">
        <f t="shared" si="404"/>
        <v>163.08000000000001</v>
      </c>
      <c r="J410" s="14">
        <f t="shared" si="405"/>
        <v>293.93999999999994</v>
      </c>
      <c r="M410" s="54"/>
      <c r="N410" s="56"/>
      <c r="V410" s="74">
        <v>9</v>
      </c>
      <c r="W410" s="74" t="s">
        <v>109</v>
      </c>
      <c r="X410" s="13">
        <v>18.16</v>
      </c>
      <c r="Y410" s="13">
        <v>22.64</v>
      </c>
      <c r="Z410" s="13">
        <f t="shared" si="406"/>
        <v>40.799999999999997</v>
      </c>
      <c r="AB410" s="74">
        <v>9</v>
      </c>
      <c r="AC410" s="74" t="s">
        <v>109</v>
      </c>
      <c r="AD410" s="13">
        <v>23.39</v>
      </c>
      <c r="AE410" s="13">
        <v>29.16</v>
      </c>
      <c r="AF410" s="13">
        <f t="shared" si="407"/>
        <v>52.55</v>
      </c>
      <c r="AH410" s="89">
        <f t="shared" si="408"/>
        <v>-0.37836682342881578</v>
      </c>
      <c r="AI410" s="89">
        <f t="shared" si="409"/>
        <v>-0.37860082304526743</v>
      </c>
      <c r="AJ410" s="89">
        <f t="shared" si="410"/>
        <v>-0.37849666983824937</v>
      </c>
    </row>
    <row r="411" spans="1:36" x14ac:dyDescent="0.3">
      <c r="A411" s="21" t="s">
        <v>775</v>
      </c>
      <c r="B411" s="11" t="s">
        <v>776</v>
      </c>
      <c r="C411" s="12">
        <f t="shared" si="400"/>
        <v>3</v>
      </c>
      <c r="D411" s="41" t="str">
        <f t="shared" si="401"/>
        <v>un</v>
      </c>
      <c r="E411" s="41">
        <f>ROUND((X411*(1-$M$5))*(1+BDI!$C$21),2)</f>
        <v>26.58</v>
      </c>
      <c r="F411" s="41">
        <f>ROUND((Y411*(1-$N$5))*(1+BDI!$C$21),2)</f>
        <v>2.11</v>
      </c>
      <c r="G411" s="41">
        <f t="shared" si="402"/>
        <v>28.689999999999998</v>
      </c>
      <c r="H411" s="13">
        <f t="shared" si="403"/>
        <v>79.739999999999995</v>
      </c>
      <c r="I411" s="13">
        <f t="shared" si="404"/>
        <v>6.33</v>
      </c>
      <c r="J411" s="14">
        <f t="shared" si="405"/>
        <v>86.07</v>
      </c>
      <c r="M411" s="54"/>
      <c r="N411" s="56"/>
      <c r="V411" s="74">
        <v>3</v>
      </c>
      <c r="W411" s="74" t="s">
        <v>109</v>
      </c>
      <c r="X411" s="13">
        <v>33.21</v>
      </c>
      <c r="Y411" s="13">
        <v>2.63</v>
      </c>
      <c r="Z411" s="13">
        <f t="shared" si="406"/>
        <v>35.840000000000003</v>
      </c>
      <c r="AB411" s="74">
        <v>3</v>
      </c>
      <c r="AC411" s="74" t="s">
        <v>109</v>
      </c>
      <c r="AD411" s="13">
        <v>42.78</v>
      </c>
      <c r="AE411" s="13">
        <v>3.39</v>
      </c>
      <c r="AF411" s="13">
        <f t="shared" si="407"/>
        <v>46.17</v>
      </c>
      <c r="AH411" s="89">
        <f t="shared" si="408"/>
        <v>-0.37868162692847129</v>
      </c>
      <c r="AI411" s="89">
        <f t="shared" si="409"/>
        <v>-0.37758112094395291</v>
      </c>
      <c r="AJ411" s="89">
        <f t="shared" si="410"/>
        <v>-0.37860082304526754</v>
      </c>
    </row>
    <row r="412" spans="1:36" x14ac:dyDescent="0.3">
      <c r="A412" s="21" t="s">
        <v>777</v>
      </c>
      <c r="B412" s="11" t="s">
        <v>778</v>
      </c>
      <c r="C412" s="12">
        <f t="shared" si="400"/>
        <v>105</v>
      </c>
      <c r="D412" s="41" t="str">
        <f t="shared" si="401"/>
        <v>UN</v>
      </c>
      <c r="E412" s="41">
        <f>ROUND((X412*(1-$M$5))*(1+BDI!$C$21),2)</f>
        <v>19.96</v>
      </c>
      <c r="F412" s="41">
        <f>ROUND((Y412*(1-$N$5))*(1+BDI!$C$21),2)</f>
        <v>22.66</v>
      </c>
      <c r="G412" s="41">
        <f t="shared" si="402"/>
        <v>42.620000000000005</v>
      </c>
      <c r="H412" s="13">
        <f t="shared" si="403"/>
        <v>2095.8000000000002</v>
      </c>
      <c r="I412" s="13">
        <f t="shared" si="404"/>
        <v>2379.3000000000002</v>
      </c>
      <c r="J412" s="14">
        <f t="shared" si="405"/>
        <v>4475.1000000000004</v>
      </c>
      <c r="M412" s="54"/>
      <c r="N412" s="56"/>
      <c r="V412" s="74">
        <v>105</v>
      </c>
      <c r="W412" s="74" t="s">
        <v>46</v>
      </c>
      <c r="X412" s="13">
        <v>24.94</v>
      </c>
      <c r="Y412" s="13">
        <v>28.31</v>
      </c>
      <c r="Z412" s="13">
        <f t="shared" si="406"/>
        <v>53.25</v>
      </c>
      <c r="AB412" s="74">
        <v>105</v>
      </c>
      <c r="AC412" s="74" t="s">
        <v>46</v>
      </c>
      <c r="AD412" s="13">
        <v>32.130000000000003</v>
      </c>
      <c r="AE412" s="13">
        <v>36.47</v>
      </c>
      <c r="AF412" s="13">
        <f t="shared" si="407"/>
        <v>68.599999999999994</v>
      </c>
      <c r="AH412" s="89">
        <f t="shared" si="408"/>
        <v>-0.37877373171490825</v>
      </c>
      <c r="AI412" s="89">
        <f t="shared" si="409"/>
        <v>-0.37866739786125581</v>
      </c>
      <c r="AJ412" s="89">
        <f t="shared" si="410"/>
        <v>-0.37871720116618068</v>
      </c>
    </row>
    <row r="413" spans="1:36" x14ac:dyDescent="0.3">
      <c r="A413" s="21" t="s">
        <v>779</v>
      </c>
      <c r="B413" s="11" t="s">
        <v>780</v>
      </c>
      <c r="C413" s="12">
        <f t="shared" si="400"/>
        <v>1</v>
      </c>
      <c r="D413" s="41" t="str">
        <f t="shared" si="401"/>
        <v>un</v>
      </c>
      <c r="E413" s="41">
        <f>ROUND((X413*(1-$M$5))*(1+BDI!$C$21),2)</f>
        <v>118.1</v>
      </c>
      <c r="F413" s="41">
        <f>ROUND((Y413*(1-$N$5))*(1+BDI!$C$21),2)</f>
        <v>22.82</v>
      </c>
      <c r="G413" s="41">
        <f t="shared" si="402"/>
        <v>140.91999999999999</v>
      </c>
      <c r="H413" s="13">
        <f t="shared" si="403"/>
        <v>118.1</v>
      </c>
      <c r="I413" s="13">
        <f t="shared" si="404"/>
        <v>22.82</v>
      </c>
      <c r="J413" s="14">
        <f t="shared" si="405"/>
        <v>140.91999999999999</v>
      </c>
      <c r="M413" s="54"/>
      <c r="N413" s="56"/>
      <c r="V413" s="74">
        <v>1</v>
      </c>
      <c r="W413" s="74" t="s">
        <v>109</v>
      </c>
      <c r="X413" s="13">
        <v>147.54</v>
      </c>
      <c r="Y413" s="13">
        <v>28.51</v>
      </c>
      <c r="Z413" s="13">
        <f t="shared" si="406"/>
        <v>176.04999999999998</v>
      </c>
      <c r="AB413" s="74">
        <v>1</v>
      </c>
      <c r="AC413" s="74" t="s">
        <v>109</v>
      </c>
      <c r="AD413" s="13">
        <v>190.06</v>
      </c>
      <c r="AE413" s="13">
        <v>36.729999999999997</v>
      </c>
      <c r="AF413" s="13">
        <f t="shared" si="407"/>
        <v>226.79</v>
      </c>
      <c r="AH413" s="89">
        <f t="shared" si="408"/>
        <v>-0.37861727875407769</v>
      </c>
      <c r="AI413" s="89">
        <f t="shared" si="409"/>
        <v>-0.37870950176967055</v>
      </c>
      <c r="AJ413" s="89">
        <f t="shared" si="410"/>
        <v>-0.37863221482428677</v>
      </c>
    </row>
    <row r="414" spans="1:36" x14ac:dyDescent="0.3">
      <c r="A414" s="21" t="s">
        <v>781</v>
      </c>
      <c r="B414" s="11" t="s">
        <v>782</v>
      </c>
      <c r="C414" s="12">
        <f t="shared" si="400"/>
        <v>1</v>
      </c>
      <c r="D414" s="41" t="str">
        <f t="shared" si="401"/>
        <v>un</v>
      </c>
      <c r="E414" s="41">
        <f>ROUND((X414*(1-$M$5))*(1+BDI!$C$21),2)</f>
        <v>137.81</v>
      </c>
      <c r="F414" s="41">
        <f>ROUND((Y414*(1-$N$5))*(1+BDI!$C$21),2)</f>
        <v>22.82</v>
      </c>
      <c r="G414" s="41">
        <f t="shared" si="402"/>
        <v>160.63</v>
      </c>
      <c r="H414" s="13">
        <f t="shared" si="403"/>
        <v>137.81</v>
      </c>
      <c r="I414" s="13">
        <f t="shared" si="404"/>
        <v>22.82</v>
      </c>
      <c r="J414" s="14">
        <f t="shared" si="405"/>
        <v>160.63</v>
      </c>
      <c r="M414" s="54"/>
      <c r="N414" s="55"/>
      <c r="V414" s="74">
        <v>1</v>
      </c>
      <c r="W414" s="74" t="s">
        <v>109</v>
      </c>
      <c r="X414" s="13">
        <v>172.16</v>
      </c>
      <c r="Y414" s="13">
        <v>28.51</v>
      </c>
      <c r="Z414" s="13">
        <f t="shared" si="406"/>
        <v>200.67</v>
      </c>
      <c r="AB414" s="74">
        <v>1</v>
      </c>
      <c r="AC414" s="74" t="s">
        <v>109</v>
      </c>
      <c r="AD414" s="13">
        <v>221.78</v>
      </c>
      <c r="AE414" s="13">
        <v>36.729999999999997</v>
      </c>
      <c r="AF414" s="13">
        <f t="shared" si="407"/>
        <v>258.51</v>
      </c>
      <c r="AH414" s="89">
        <f t="shared" si="408"/>
        <v>-0.37861845071692668</v>
      </c>
      <c r="AI414" s="89">
        <f t="shared" si="409"/>
        <v>-0.37870950176967055</v>
      </c>
      <c r="AJ414" s="89">
        <f t="shared" si="410"/>
        <v>-0.37863138756721204</v>
      </c>
    </row>
    <row r="415" spans="1:36" x14ac:dyDescent="0.3">
      <c r="A415" s="21" t="s">
        <v>783</v>
      </c>
      <c r="B415" s="11" t="s">
        <v>784</v>
      </c>
      <c r="C415" s="12">
        <f t="shared" si="400"/>
        <v>1</v>
      </c>
      <c r="D415" s="41" t="str">
        <f t="shared" si="401"/>
        <v>un</v>
      </c>
      <c r="E415" s="41">
        <f>ROUND((X415*(1-$M$5))*(1+BDI!$C$21),2)</f>
        <v>60.71</v>
      </c>
      <c r="F415" s="41">
        <f>ROUND((Y415*(1-$N$5))*(1+BDI!$C$21),2)</f>
        <v>22.82</v>
      </c>
      <c r="G415" s="41">
        <f t="shared" si="402"/>
        <v>83.53</v>
      </c>
      <c r="H415" s="13">
        <f t="shared" si="403"/>
        <v>60.71</v>
      </c>
      <c r="I415" s="13">
        <f t="shared" si="404"/>
        <v>22.82</v>
      </c>
      <c r="J415" s="14">
        <f t="shared" si="405"/>
        <v>83.53</v>
      </c>
      <c r="M415" s="54"/>
      <c r="N415" s="56"/>
      <c r="V415" s="74">
        <v>1</v>
      </c>
      <c r="W415" s="74" t="s">
        <v>109</v>
      </c>
      <c r="X415" s="13">
        <v>75.84</v>
      </c>
      <c r="Y415" s="13">
        <v>28.51</v>
      </c>
      <c r="Z415" s="13">
        <f t="shared" si="406"/>
        <v>104.35000000000001</v>
      </c>
      <c r="AB415" s="74">
        <v>1</v>
      </c>
      <c r="AC415" s="74" t="s">
        <v>109</v>
      </c>
      <c r="AD415" s="13">
        <v>97.7</v>
      </c>
      <c r="AE415" s="13">
        <v>36.729999999999997</v>
      </c>
      <c r="AF415" s="13">
        <f t="shared" si="407"/>
        <v>134.43</v>
      </c>
      <c r="AH415" s="89">
        <f t="shared" si="408"/>
        <v>-0.37860798362333681</v>
      </c>
      <c r="AI415" s="89">
        <f t="shared" si="409"/>
        <v>-0.37870950176967055</v>
      </c>
      <c r="AJ415" s="89">
        <f t="shared" si="410"/>
        <v>-0.37863572119318611</v>
      </c>
    </row>
    <row r="416" spans="1:36" x14ac:dyDescent="0.3">
      <c r="A416" s="21" t="s">
        <v>785</v>
      </c>
      <c r="B416" s="11" t="s">
        <v>786</v>
      </c>
      <c r="C416" s="12">
        <f t="shared" si="400"/>
        <v>1</v>
      </c>
      <c r="D416" s="41" t="str">
        <f t="shared" si="401"/>
        <v>un</v>
      </c>
      <c r="E416" s="41">
        <f>ROUND((X416*(1-$M$5))*(1+BDI!$C$21),2)</f>
        <v>100.57</v>
      </c>
      <c r="F416" s="41">
        <f>ROUND((Y416*(1-$N$5))*(1+BDI!$C$21),2)</f>
        <v>20.32</v>
      </c>
      <c r="G416" s="41">
        <f t="shared" si="402"/>
        <v>120.88999999999999</v>
      </c>
      <c r="H416" s="13">
        <f t="shared" si="403"/>
        <v>100.57</v>
      </c>
      <c r="I416" s="13">
        <f t="shared" si="404"/>
        <v>20.32</v>
      </c>
      <c r="J416" s="14">
        <f t="shared" si="405"/>
        <v>120.88999999999999</v>
      </c>
      <c r="M416" s="54"/>
      <c r="N416" s="56"/>
      <c r="V416" s="74">
        <v>1</v>
      </c>
      <c r="W416" s="74" t="s">
        <v>109</v>
      </c>
      <c r="X416" s="13">
        <v>125.64</v>
      </c>
      <c r="Y416" s="13">
        <v>25.38</v>
      </c>
      <c r="Z416" s="13">
        <f t="shared" si="406"/>
        <v>151.02000000000001</v>
      </c>
      <c r="AB416" s="74">
        <v>1</v>
      </c>
      <c r="AC416" s="74" t="s">
        <v>109</v>
      </c>
      <c r="AD416" s="13">
        <v>161.85</v>
      </c>
      <c r="AE416" s="13">
        <v>32.69</v>
      </c>
      <c r="AF416" s="13">
        <f t="shared" si="407"/>
        <v>194.54</v>
      </c>
      <c r="AH416" s="89">
        <f t="shared" si="408"/>
        <v>-0.37862218103181966</v>
      </c>
      <c r="AI416" s="89">
        <f t="shared" si="409"/>
        <v>-0.37840318140104001</v>
      </c>
      <c r="AJ416" s="89">
        <f t="shared" si="410"/>
        <v>-0.37858538089852989</v>
      </c>
    </row>
    <row r="417" spans="1:36" x14ac:dyDescent="0.3">
      <c r="A417" s="21" t="s">
        <v>1017</v>
      </c>
      <c r="B417" s="11" t="s">
        <v>1047</v>
      </c>
      <c r="C417" s="12">
        <f t="shared" si="400"/>
        <v>1</v>
      </c>
      <c r="D417" s="41" t="str">
        <f t="shared" si="401"/>
        <v>un</v>
      </c>
      <c r="E417" s="41">
        <f>ROUND((X417*(1-$M$5))*(1+BDI!$C$21),2)</f>
        <v>27.5</v>
      </c>
      <c r="F417" s="41">
        <f>ROUND((Y417*(1-$N$5))*(1+BDI!$C$21),2)</f>
        <v>4.2300000000000004</v>
      </c>
      <c r="G417" s="41">
        <f t="shared" si="402"/>
        <v>31.73</v>
      </c>
      <c r="H417" s="13">
        <f t="shared" si="403"/>
        <v>27.5</v>
      </c>
      <c r="I417" s="13">
        <f t="shared" si="404"/>
        <v>4.2300000000000004</v>
      </c>
      <c r="J417" s="14">
        <f t="shared" si="405"/>
        <v>31.73</v>
      </c>
      <c r="M417" s="54"/>
      <c r="N417" s="56"/>
      <c r="V417" s="74">
        <v>1</v>
      </c>
      <c r="W417" s="74" t="s">
        <v>109</v>
      </c>
      <c r="X417" s="13">
        <v>34.35</v>
      </c>
      <c r="Y417" s="13">
        <v>5.28</v>
      </c>
      <c r="Z417" s="13">
        <f t="shared" si="406"/>
        <v>39.630000000000003</v>
      </c>
      <c r="AB417" s="74">
        <v>1</v>
      </c>
      <c r="AC417" s="74" t="s">
        <v>109</v>
      </c>
      <c r="AD417" s="13">
        <v>44.25</v>
      </c>
      <c r="AE417" s="13">
        <v>6.8</v>
      </c>
      <c r="AF417" s="13">
        <f t="shared" si="407"/>
        <v>51.05</v>
      </c>
      <c r="AH417" s="89">
        <f t="shared" si="408"/>
        <v>-0.37853107344632764</v>
      </c>
      <c r="AI417" s="89">
        <f t="shared" si="409"/>
        <v>-0.37794117647058811</v>
      </c>
      <c r="AJ417" s="89">
        <f t="shared" si="410"/>
        <v>-0.37845249755142019</v>
      </c>
    </row>
    <row r="418" spans="1:36" x14ac:dyDescent="0.3">
      <c r="A418" s="21" t="s">
        <v>1018</v>
      </c>
      <c r="B418" s="11" t="s">
        <v>1048</v>
      </c>
      <c r="C418" s="12">
        <f t="shared" si="394"/>
        <v>1</v>
      </c>
      <c r="D418" s="41" t="str">
        <f t="shared" si="395"/>
        <v>un</v>
      </c>
      <c r="E418" s="41">
        <f>ROUND((X418*(1-$M$5))*(1+BDI!$C$21),2)</f>
        <v>60.49</v>
      </c>
      <c r="F418" s="41">
        <f>ROUND((Y418*(1-$N$5))*(1+BDI!$C$21),2)</f>
        <v>4.2300000000000004</v>
      </c>
      <c r="G418" s="41">
        <f t="shared" si="381"/>
        <v>64.72</v>
      </c>
      <c r="H418" s="13">
        <f t="shared" si="396"/>
        <v>60.49</v>
      </c>
      <c r="I418" s="13">
        <f t="shared" si="397"/>
        <v>4.2300000000000004</v>
      </c>
      <c r="J418" s="14">
        <f t="shared" si="380"/>
        <v>64.72</v>
      </c>
      <c r="M418" s="54"/>
      <c r="N418" s="56"/>
      <c r="V418" s="74">
        <v>1</v>
      </c>
      <c r="W418" s="74" t="s">
        <v>109</v>
      </c>
      <c r="X418" s="13">
        <v>75.569999999999993</v>
      </c>
      <c r="Y418" s="13">
        <v>5.28</v>
      </c>
      <c r="Z418" s="13">
        <f t="shared" si="398"/>
        <v>80.849999999999994</v>
      </c>
      <c r="AB418" s="74">
        <v>1</v>
      </c>
      <c r="AC418" s="74" t="s">
        <v>109</v>
      </c>
      <c r="AD418" s="13">
        <v>97.35</v>
      </c>
      <c r="AE418" s="13">
        <v>6.8</v>
      </c>
      <c r="AF418" s="13">
        <f t="shared" si="399"/>
        <v>104.14999999999999</v>
      </c>
      <c r="AH418" s="89">
        <f t="shared" si="352"/>
        <v>-0.37863379558294807</v>
      </c>
      <c r="AI418" s="89">
        <f t="shared" si="353"/>
        <v>-0.37794117647058811</v>
      </c>
      <c r="AJ418" s="89">
        <f t="shared" si="354"/>
        <v>-0.37858857417186742</v>
      </c>
    </row>
    <row r="419" spans="1:36" x14ac:dyDescent="0.3">
      <c r="A419" s="21" t="s">
        <v>1019</v>
      </c>
      <c r="B419" s="11" t="s">
        <v>1049</v>
      </c>
      <c r="C419" s="12">
        <f t="shared" si="394"/>
        <v>1</v>
      </c>
      <c r="D419" s="41" t="str">
        <f t="shared" si="395"/>
        <v>un</v>
      </c>
      <c r="E419" s="41">
        <f>ROUND((X419*(1-$M$5))*(1+BDI!$C$21),2)</f>
        <v>64.16</v>
      </c>
      <c r="F419" s="41">
        <f>ROUND((Y419*(1-$N$5))*(1+BDI!$C$21),2)</f>
        <v>4.2300000000000004</v>
      </c>
      <c r="G419" s="41">
        <f t="shared" si="381"/>
        <v>68.39</v>
      </c>
      <c r="H419" s="13">
        <f t="shared" si="396"/>
        <v>64.16</v>
      </c>
      <c r="I419" s="13">
        <f t="shared" si="397"/>
        <v>4.2300000000000004</v>
      </c>
      <c r="J419" s="14">
        <f t="shared" si="380"/>
        <v>68.39</v>
      </c>
      <c r="M419" s="54"/>
      <c r="N419" s="56"/>
      <c r="V419" s="74">
        <v>1</v>
      </c>
      <c r="W419" s="74" t="s">
        <v>109</v>
      </c>
      <c r="X419" s="13">
        <v>80.150000000000006</v>
      </c>
      <c r="Y419" s="13">
        <v>5.28</v>
      </c>
      <c r="Z419" s="13">
        <f t="shared" si="398"/>
        <v>85.43</v>
      </c>
      <c r="AB419" s="74">
        <v>1</v>
      </c>
      <c r="AC419" s="74" t="s">
        <v>109</v>
      </c>
      <c r="AD419" s="13">
        <v>103.25</v>
      </c>
      <c r="AE419" s="13">
        <v>6.8</v>
      </c>
      <c r="AF419" s="13">
        <f t="shared" si="399"/>
        <v>110.05</v>
      </c>
      <c r="AH419" s="89">
        <f t="shared" si="352"/>
        <v>-0.37859564164648918</v>
      </c>
      <c r="AI419" s="89">
        <f t="shared" si="353"/>
        <v>-0.37794117647058811</v>
      </c>
      <c r="AJ419" s="89">
        <f t="shared" si="354"/>
        <v>-0.37855520218082683</v>
      </c>
    </row>
    <row r="420" spans="1:36" x14ac:dyDescent="0.3">
      <c r="A420" s="21" t="s">
        <v>1020</v>
      </c>
      <c r="B420" s="11" t="s">
        <v>1050</v>
      </c>
      <c r="C420" s="12">
        <f t="shared" si="394"/>
        <v>1</v>
      </c>
      <c r="D420" s="41" t="str">
        <f t="shared" si="395"/>
        <v>un</v>
      </c>
      <c r="E420" s="41">
        <f>ROUND((X420*(1-$M$5))*(1+BDI!$C$21),2)</f>
        <v>51.33</v>
      </c>
      <c r="F420" s="41">
        <f>ROUND((Y420*(1-$N$5))*(1+BDI!$C$21),2)</f>
        <v>4.2300000000000004</v>
      </c>
      <c r="G420" s="41">
        <f t="shared" si="381"/>
        <v>55.56</v>
      </c>
      <c r="H420" s="13">
        <f t="shared" si="396"/>
        <v>51.33</v>
      </c>
      <c r="I420" s="13">
        <f t="shared" si="397"/>
        <v>4.2300000000000004</v>
      </c>
      <c r="J420" s="14">
        <f t="shared" si="380"/>
        <v>55.56</v>
      </c>
      <c r="M420" s="54"/>
      <c r="N420" s="56"/>
      <c r="V420" s="74">
        <v>1</v>
      </c>
      <c r="W420" s="74" t="s">
        <v>109</v>
      </c>
      <c r="X420" s="13">
        <v>64.12</v>
      </c>
      <c r="Y420" s="13">
        <v>5.28</v>
      </c>
      <c r="Z420" s="13">
        <f t="shared" si="398"/>
        <v>69.400000000000006</v>
      </c>
      <c r="AB420" s="74">
        <v>1</v>
      </c>
      <c r="AC420" s="74" t="s">
        <v>109</v>
      </c>
      <c r="AD420" s="13">
        <v>82.6</v>
      </c>
      <c r="AE420" s="13">
        <v>6.8</v>
      </c>
      <c r="AF420" s="13">
        <f t="shared" si="399"/>
        <v>89.399999999999991</v>
      </c>
      <c r="AH420" s="89">
        <f t="shared" si="352"/>
        <v>-0.37857142857142856</v>
      </c>
      <c r="AI420" s="89">
        <f t="shared" si="353"/>
        <v>-0.37794117647058811</v>
      </c>
      <c r="AJ420" s="89">
        <f t="shared" si="354"/>
        <v>-0.37852348993288587</v>
      </c>
    </row>
    <row r="421" spans="1:36" x14ac:dyDescent="0.3">
      <c r="A421" s="21" t="s">
        <v>1021</v>
      </c>
      <c r="B421" s="11" t="s">
        <v>1051</v>
      </c>
      <c r="C421" s="12">
        <f t="shared" si="394"/>
        <v>1</v>
      </c>
      <c r="D421" s="41" t="str">
        <f t="shared" si="395"/>
        <v>un</v>
      </c>
      <c r="E421" s="41">
        <f>ROUND((X421*(1-$M$5))*(1+BDI!$C$21),2)</f>
        <v>60.49</v>
      </c>
      <c r="F421" s="41">
        <f>ROUND((Y421*(1-$N$5))*(1+BDI!$C$21),2)</f>
        <v>4.2300000000000004</v>
      </c>
      <c r="G421" s="41">
        <f t="shared" si="381"/>
        <v>64.72</v>
      </c>
      <c r="H421" s="13">
        <f t="shared" si="396"/>
        <v>60.49</v>
      </c>
      <c r="I421" s="13">
        <f t="shared" si="397"/>
        <v>4.2300000000000004</v>
      </c>
      <c r="J421" s="14">
        <f t="shared" si="380"/>
        <v>64.72</v>
      </c>
      <c r="M421" s="54"/>
      <c r="N421" s="56"/>
      <c r="V421" s="74">
        <v>1</v>
      </c>
      <c r="W421" s="74" t="s">
        <v>109</v>
      </c>
      <c r="X421" s="13">
        <v>75.569999999999993</v>
      </c>
      <c r="Y421" s="13">
        <v>5.28</v>
      </c>
      <c r="Z421" s="13">
        <f t="shared" si="398"/>
        <v>80.849999999999994</v>
      </c>
      <c r="AB421" s="74">
        <v>1</v>
      </c>
      <c r="AC421" s="74" t="s">
        <v>109</v>
      </c>
      <c r="AD421" s="13">
        <v>97.35</v>
      </c>
      <c r="AE421" s="13">
        <v>6.8</v>
      </c>
      <c r="AF421" s="13">
        <f t="shared" si="399"/>
        <v>104.14999999999999</v>
      </c>
      <c r="AH421" s="89">
        <f t="shared" si="352"/>
        <v>-0.37863379558294807</v>
      </c>
      <c r="AI421" s="89">
        <f t="shared" si="353"/>
        <v>-0.37794117647058811</v>
      </c>
      <c r="AJ421" s="89">
        <f t="shared" si="354"/>
        <v>-0.37858857417186742</v>
      </c>
    </row>
    <row r="422" spans="1:36" x14ac:dyDescent="0.3">
      <c r="A422" s="21" t="s">
        <v>1022</v>
      </c>
      <c r="B422" s="11" t="s">
        <v>1052</v>
      </c>
      <c r="C422" s="12">
        <f t="shared" ref="C422" si="411">V422</f>
        <v>1</v>
      </c>
      <c r="D422" s="41" t="str">
        <f t="shared" ref="D422" si="412">W422</f>
        <v>un</v>
      </c>
      <c r="E422" s="41">
        <f>ROUND((X422*(1-$M$5))*(1+BDI!$C$21),2)</f>
        <v>64.16</v>
      </c>
      <c r="F422" s="41">
        <f>ROUND((Y422*(1-$N$5))*(1+BDI!$C$21),2)</f>
        <v>4.2300000000000004</v>
      </c>
      <c r="G422" s="41">
        <f t="shared" ref="G422" si="413">F422+E422</f>
        <v>68.39</v>
      </c>
      <c r="H422" s="13">
        <f t="shared" ref="H422" si="414">C422*E422</f>
        <v>64.16</v>
      </c>
      <c r="I422" s="13">
        <f t="shared" ref="I422" si="415">C422*F422</f>
        <v>4.2300000000000004</v>
      </c>
      <c r="J422" s="14">
        <f t="shared" ref="J422" si="416">SUM(E422:F422)*C422</f>
        <v>68.39</v>
      </c>
      <c r="M422" s="54"/>
      <c r="N422" s="56"/>
      <c r="V422" s="74">
        <v>1</v>
      </c>
      <c r="W422" s="74" t="s">
        <v>109</v>
      </c>
      <c r="X422" s="13">
        <v>80.150000000000006</v>
      </c>
      <c r="Y422" s="13">
        <v>5.28</v>
      </c>
      <c r="Z422" s="13">
        <f t="shared" ref="Z422" si="417">SUM(X422:Y422)</f>
        <v>85.43</v>
      </c>
      <c r="AB422" s="74">
        <v>1</v>
      </c>
      <c r="AC422" s="74" t="s">
        <v>109</v>
      </c>
      <c r="AD422" s="13">
        <v>103.25</v>
      </c>
      <c r="AE422" s="13">
        <v>6.8</v>
      </c>
      <c r="AF422" s="13">
        <f t="shared" ref="AF422" si="418">SUM(AD422:AE422)</f>
        <v>110.05</v>
      </c>
      <c r="AH422" s="89">
        <f t="shared" ref="AH422" si="419">IF(E422=0,0,(E422/AD422)-1)</f>
        <v>-0.37859564164648918</v>
      </c>
      <c r="AI422" s="89">
        <f t="shared" ref="AI422" si="420">IF(F422=0,0,(F422/AE422)-1)</f>
        <v>-0.37794117647058811</v>
      </c>
      <c r="AJ422" s="89">
        <f t="shared" ref="AJ422" si="421">IF(G422=0,0,(G422/AF422)-1)</f>
        <v>-0.37855520218082683</v>
      </c>
    </row>
    <row r="423" spans="1:36" x14ac:dyDescent="0.3">
      <c r="A423" s="21" t="s">
        <v>1023</v>
      </c>
      <c r="B423" s="11" t="s">
        <v>1053</v>
      </c>
      <c r="C423" s="12">
        <f t="shared" si="394"/>
        <v>1</v>
      </c>
      <c r="D423" s="41" t="str">
        <f t="shared" si="395"/>
        <v>un</v>
      </c>
      <c r="E423" s="41">
        <f>ROUND((X423*(1-$M$5))*(1+BDI!$C$21),2)</f>
        <v>67.150000000000006</v>
      </c>
      <c r="F423" s="41">
        <f>ROUND((Y423*(1-$N$5))*(1+BDI!$C$21),2)</f>
        <v>4.2300000000000004</v>
      </c>
      <c r="G423" s="41">
        <f t="shared" si="381"/>
        <v>71.38000000000001</v>
      </c>
      <c r="H423" s="13">
        <f t="shared" si="396"/>
        <v>67.150000000000006</v>
      </c>
      <c r="I423" s="13">
        <f t="shared" si="397"/>
        <v>4.2300000000000004</v>
      </c>
      <c r="J423" s="14">
        <f t="shared" si="380"/>
        <v>71.38000000000001</v>
      </c>
      <c r="M423" s="54"/>
      <c r="N423" s="56"/>
      <c r="V423" s="74">
        <v>1</v>
      </c>
      <c r="W423" s="74" t="s">
        <v>109</v>
      </c>
      <c r="X423" s="13">
        <v>83.89</v>
      </c>
      <c r="Y423" s="13">
        <v>5.28</v>
      </c>
      <c r="Z423" s="13">
        <f t="shared" si="398"/>
        <v>89.17</v>
      </c>
      <c r="AB423" s="74">
        <v>1</v>
      </c>
      <c r="AC423" s="74" t="s">
        <v>109</v>
      </c>
      <c r="AD423" s="13">
        <v>108.07</v>
      </c>
      <c r="AE423" s="13">
        <v>6.8</v>
      </c>
      <c r="AF423" s="13">
        <f t="shared" si="399"/>
        <v>114.86999999999999</v>
      </c>
      <c r="AH423" s="89">
        <f t="shared" ref="AH423:AH487" si="422">IF(E423=0,0,(E423/AD423)-1)</f>
        <v>-0.37864347182381786</v>
      </c>
      <c r="AI423" s="89">
        <f t="shared" si="353"/>
        <v>-0.37794117647058811</v>
      </c>
      <c r="AJ423" s="89">
        <f t="shared" si="354"/>
        <v>-0.37860189779751008</v>
      </c>
    </row>
    <row r="424" spans="1:36" x14ac:dyDescent="0.3">
      <c r="A424" s="21" t="s">
        <v>1024</v>
      </c>
      <c r="B424" s="11" t="s">
        <v>1054</v>
      </c>
      <c r="C424" s="12">
        <f t="shared" si="394"/>
        <v>1</v>
      </c>
      <c r="D424" s="41" t="str">
        <f t="shared" si="395"/>
        <v>un</v>
      </c>
      <c r="E424" s="41">
        <f>ROUND((X424*(1-$M$5))*(1+BDI!$C$21),2)</f>
        <v>27.5</v>
      </c>
      <c r="F424" s="41">
        <f>ROUND((Y424*(1-$N$5))*(1+BDI!$C$21),2)</f>
        <v>4.2300000000000004</v>
      </c>
      <c r="G424" s="41">
        <f t="shared" si="381"/>
        <v>31.73</v>
      </c>
      <c r="H424" s="13">
        <f t="shared" si="396"/>
        <v>27.5</v>
      </c>
      <c r="I424" s="13">
        <f t="shared" si="397"/>
        <v>4.2300000000000004</v>
      </c>
      <c r="J424" s="14">
        <f t="shared" si="380"/>
        <v>31.73</v>
      </c>
      <c r="M424" s="54"/>
      <c r="N424" s="56"/>
      <c r="V424" s="74">
        <v>1</v>
      </c>
      <c r="W424" s="74" t="s">
        <v>109</v>
      </c>
      <c r="X424" s="13">
        <v>34.35</v>
      </c>
      <c r="Y424" s="13">
        <v>5.28</v>
      </c>
      <c r="Z424" s="13">
        <f t="shared" si="398"/>
        <v>39.630000000000003</v>
      </c>
      <c r="AB424" s="74">
        <v>1</v>
      </c>
      <c r="AC424" s="74" t="s">
        <v>109</v>
      </c>
      <c r="AD424" s="13">
        <v>44.25</v>
      </c>
      <c r="AE424" s="13">
        <v>6.8</v>
      </c>
      <c r="AF424" s="13">
        <f t="shared" si="399"/>
        <v>51.05</v>
      </c>
      <c r="AH424" s="89">
        <f t="shared" si="422"/>
        <v>-0.37853107344632764</v>
      </c>
      <c r="AI424" s="89">
        <f t="shared" ref="AI424:AI488" si="423">IF(F424=0,0,(F424/AE424)-1)</f>
        <v>-0.37794117647058811</v>
      </c>
      <c r="AJ424" s="89">
        <f t="shared" ref="AJ424:AJ488" si="424">IF(G424=0,0,(G424/AF424)-1)</f>
        <v>-0.37845249755142019</v>
      </c>
    </row>
    <row r="425" spans="1:36" x14ac:dyDescent="0.3">
      <c r="A425" s="21" t="s">
        <v>1025</v>
      </c>
      <c r="B425" s="11" t="s">
        <v>1055</v>
      </c>
      <c r="C425" s="12">
        <f t="shared" si="394"/>
        <v>1</v>
      </c>
      <c r="D425" s="41" t="str">
        <f t="shared" si="395"/>
        <v>un</v>
      </c>
      <c r="E425" s="41">
        <f>ROUND((X425*(1-$M$5))*(1+BDI!$C$21),2)</f>
        <v>31.16</v>
      </c>
      <c r="F425" s="41">
        <f>ROUND((Y425*(1-$N$5))*(1+BDI!$C$21),2)</f>
        <v>4.2300000000000004</v>
      </c>
      <c r="G425" s="41">
        <f t="shared" si="381"/>
        <v>35.39</v>
      </c>
      <c r="H425" s="13">
        <f t="shared" si="396"/>
        <v>31.16</v>
      </c>
      <c r="I425" s="13">
        <f t="shared" si="397"/>
        <v>4.2300000000000004</v>
      </c>
      <c r="J425" s="14">
        <f t="shared" si="380"/>
        <v>35.39</v>
      </c>
      <c r="M425" s="54"/>
      <c r="N425" s="56"/>
      <c r="V425" s="74">
        <v>1</v>
      </c>
      <c r="W425" s="74" t="s">
        <v>109</v>
      </c>
      <c r="X425" s="13">
        <v>38.93</v>
      </c>
      <c r="Y425" s="13">
        <v>5.28</v>
      </c>
      <c r="Z425" s="13">
        <f t="shared" si="398"/>
        <v>44.21</v>
      </c>
      <c r="AB425" s="74">
        <v>1</v>
      </c>
      <c r="AC425" s="74" t="s">
        <v>109</v>
      </c>
      <c r="AD425" s="13">
        <v>50.15</v>
      </c>
      <c r="AE425" s="13">
        <v>6.8</v>
      </c>
      <c r="AF425" s="13">
        <f t="shared" si="399"/>
        <v>56.949999999999996</v>
      </c>
      <c r="AH425" s="89">
        <f t="shared" si="422"/>
        <v>-0.3786640079760718</v>
      </c>
      <c r="AI425" s="89">
        <f t="shared" si="423"/>
        <v>-0.37794117647058811</v>
      </c>
      <c r="AJ425" s="89">
        <f t="shared" si="424"/>
        <v>-0.37857769973661104</v>
      </c>
    </row>
    <row r="426" spans="1:36" x14ac:dyDescent="0.3">
      <c r="A426" s="21" t="s">
        <v>1026</v>
      </c>
      <c r="B426" s="11" t="s">
        <v>1056</v>
      </c>
      <c r="C426" s="12">
        <f t="shared" si="394"/>
        <v>1</v>
      </c>
      <c r="D426" s="41" t="str">
        <f t="shared" si="395"/>
        <v>un</v>
      </c>
      <c r="E426" s="41">
        <f>ROUND((X426*(1-$M$5))*(1+BDI!$C$21),2)</f>
        <v>47.66</v>
      </c>
      <c r="F426" s="41">
        <f>ROUND((Y426*(1-$N$5))*(1+BDI!$C$21),2)</f>
        <v>4.2300000000000004</v>
      </c>
      <c r="G426" s="41">
        <f t="shared" si="381"/>
        <v>51.89</v>
      </c>
      <c r="H426" s="13">
        <f t="shared" si="396"/>
        <v>47.66</v>
      </c>
      <c r="I426" s="13">
        <f t="shared" si="397"/>
        <v>4.2300000000000004</v>
      </c>
      <c r="J426" s="14">
        <f t="shared" si="380"/>
        <v>51.89</v>
      </c>
      <c r="M426" s="54"/>
      <c r="N426" s="55"/>
      <c r="V426" s="74">
        <v>1</v>
      </c>
      <c r="W426" s="74" t="s">
        <v>109</v>
      </c>
      <c r="X426" s="13">
        <v>59.54</v>
      </c>
      <c r="Y426" s="13">
        <v>5.28</v>
      </c>
      <c r="Z426" s="13">
        <f t="shared" si="398"/>
        <v>64.819999999999993</v>
      </c>
      <c r="AB426" s="74">
        <v>1</v>
      </c>
      <c r="AC426" s="74" t="s">
        <v>109</v>
      </c>
      <c r="AD426" s="13">
        <v>76.7</v>
      </c>
      <c r="AE426" s="13">
        <v>6.8</v>
      </c>
      <c r="AF426" s="13">
        <f t="shared" si="399"/>
        <v>83.5</v>
      </c>
      <c r="AH426" s="89">
        <f t="shared" si="422"/>
        <v>-0.37861799217731429</v>
      </c>
      <c r="AI426" s="89">
        <f t="shared" si="423"/>
        <v>-0.37794117647058811</v>
      </c>
      <c r="AJ426" s="89">
        <f t="shared" si="424"/>
        <v>-0.37856287425149704</v>
      </c>
    </row>
    <row r="427" spans="1:36" x14ac:dyDescent="0.3">
      <c r="A427" s="21" t="s">
        <v>1027</v>
      </c>
      <c r="B427" s="11" t="s">
        <v>1057</v>
      </c>
      <c r="C427" s="12">
        <f t="shared" si="394"/>
        <v>1</v>
      </c>
      <c r="D427" s="41" t="str">
        <f t="shared" si="395"/>
        <v>un</v>
      </c>
      <c r="E427" s="41">
        <f>ROUND((X427*(1-$M$5))*(1+BDI!$C$21),2)</f>
        <v>64.16</v>
      </c>
      <c r="F427" s="41">
        <f>ROUND((Y427*(1-$N$5))*(1+BDI!$C$21),2)</f>
        <v>4.2300000000000004</v>
      </c>
      <c r="G427" s="41">
        <f t="shared" si="381"/>
        <v>68.39</v>
      </c>
      <c r="H427" s="13">
        <f t="shared" si="396"/>
        <v>64.16</v>
      </c>
      <c r="I427" s="13">
        <f t="shared" si="397"/>
        <v>4.2300000000000004</v>
      </c>
      <c r="J427" s="14">
        <f t="shared" si="380"/>
        <v>68.39</v>
      </c>
      <c r="M427" s="54"/>
      <c r="N427" s="56"/>
      <c r="V427" s="74">
        <v>1</v>
      </c>
      <c r="W427" s="74" t="s">
        <v>109</v>
      </c>
      <c r="X427" s="13">
        <v>80.150000000000006</v>
      </c>
      <c r="Y427" s="13">
        <v>5.28</v>
      </c>
      <c r="Z427" s="13">
        <f t="shared" si="398"/>
        <v>85.43</v>
      </c>
      <c r="AB427" s="74">
        <v>1</v>
      </c>
      <c r="AC427" s="74" t="s">
        <v>109</v>
      </c>
      <c r="AD427" s="13">
        <v>103.25</v>
      </c>
      <c r="AE427" s="13">
        <v>6.8</v>
      </c>
      <c r="AF427" s="13">
        <f t="shared" si="399"/>
        <v>110.05</v>
      </c>
      <c r="AH427" s="89">
        <f t="shared" si="422"/>
        <v>-0.37859564164648918</v>
      </c>
      <c r="AI427" s="89">
        <f t="shared" si="423"/>
        <v>-0.37794117647058811</v>
      </c>
      <c r="AJ427" s="89">
        <f t="shared" si="424"/>
        <v>-0.37855520218082683</v>
      </c>
    </row>
    <row r="428" spans="1:36" x14ac:dyDescent="0.3">
      <c r="A428" s="21" t="s">
        <v>1028</v>
      </c>
      <c r="B428" s="11" t="s">
        <v>1058</v>
      </c>
      <c r="C428" s="12">
        <f t="shared" si="394"/>
        <v>1</v>
      </c>
      <c r="D428" s="41" t="str">
        <f t="shared" si="395"/>
        <v>un</v>
      </c>
      <c r="E428" s="41">
        <f>ROUND((X428*(1-$M$5))*(1+BDI!$C$21),2)</f>
        <v>120.99</v>
      </c>
      <c r="F428" s="41">
        <f>ROUND((Y428*(1-$N$5))*(1+BDI!$C$21),2)</f>
        <v>4.2300000000000004</v>
      </c>
      <c r="G428" s="41">
        <f t="shared" si="381"/>
        <v>125.22</v>
      </c>
      <c r="H428" s="13">
        <f t="shared" si="396"/>
        <v>120.99</v>
      </c>
      <c r="I428" s="13">
        <f t="shared" si="397"/>
        <v>4.2300000000000004</v>
      </c>
      <c r="J428" s="14">
        <f t="shared" si="380"/>
        <v>125.22</v>
      </c>
      <c r="M428" s="54"/>
      <c r="N428" s="56"/>
      <c r="V428" s="74">
        <v>1</v>
      </c>
      <c r="W428" s="74" t="s">
        <v>109</v>
      </c>
      <c r="X428" s="13">
        <v>151.13999999999999</v>
      </c>
      <c r="Y428" s="13">
        <v>5.28</v>
      </c>
      <c r="Z428" s="13">
        <f t="shared" si="398"/>
        <v>156.41999999999999</v>
      </c>
      <c r="AB428" s="74">
        <v>1</v>
      </c>
      <c r="AC428" s="74" t="s">
        <v>109</v>
      </c>
      <c r="AD428" s="13">
        <v>194.7</v>
      </c>
      <c r="AE428" s="13">
        <v>6.8</v>
      </c>
      <c r="AF428" s="13">
        <f t="shared" si="399"/>
        <v>201.5</v>
      </c>
      <c r="AH428" s="89">
        <f t="shared" si="422"/>
        <v>-0.37858243451463791</v>
      </c>
      <c r="AI428" s="89">
        <f t="shared" si="423"/>
        <v>-0.37794117647058811</v>
      </c>
      <c r="AJ428" s="89">
        <f t="shared" si="424"/>
        <v>-0.37856079404466503</v>
      </c>
    </row>
    <row r="429" spans="1:36" x14ac:dyDescent="0.3">
      <c r="A429" s="21" t="s">
        <v>1029</v>
      </c>
      <c r="B429" s="11" t="s">
        <v>1059</v>
      </c>
      <c r="C429" s="12">
        <f t="shared" si="394"/>
        <v>1</v>
      </c>
      <c r="D429" s="41" t="str">
        <f t="shared" si="395"/>
        <v>un</v>
      </c>
      <c r="E429" s="41">
        <f>ROUND((X429*(1-$M$5))*(1+BDI!$C$21),2)</f>
        <v>175.98</v>
      </c>
      <c r="F429" s="41">
        <f>ROUND((Y429*(1-$N$5))*(1+BDI!$C$21),2)</f>
        <v>4.2300000000000004</v>
      </c>
      <c r="G429" s="41">
        <f t="shared" si="381"/>
        <v>180.20999999999998</v>
      </c>
      <c r="H429" s="13">
        <f t="shared" si="396"/>
        <v>175.98</v>
      </c>
      <c r="I429" s="13">
        <f t="shared" si="397"/>
        <v>4.2300000000000004</v>
      </c>
      <c r="J429" s="14">
        <f t="shared" si="380"/>
        <v>180.20999999999998</v>
      </c>
      <c r="M429" s="54"/>
      <c r="N429" s="56"/>
      <c r="V429" s="74">
        <v>1</v>
      </c>
      <c r="W429" s="74" t="s">
        <v>109</v>
      </c>
      <c r="X429" s="13">
        <v>219.84</v>
      </c>
      <c r="Y429" s="13">
        <v>5.28</v>
      </c>
      <c r="Z429" s="13">
        <f t="shared" si="398"/>
        <v>225.12</v>
      </c>
      <c r="AB429" s="74">
        <v>1</v>
      </c>
      <c r="AC429" s="74" t="s">
        <v>109</v>
      </c>
      <c r="AD429" s="13">
        <v>283.2</v>
      </c>
      <c r="AE429" s="13">
        <v>6.8</v>
      </c>
      <c r="AF429" s="13">
        <f t="shared" si="399"/>
        <v>290</v>
      </c>
      <c r="AH429" s="89">
        <f t="shared" si="422"/>
        <v>-0.37860169491525419</v>
      </c>
      <c r="AI429" s="89">
        <f t="shared" si="423"/>
        <v>-0.37794117647058811</v>
      </c>
      <c r="AJ429" s="89">
        <f t="shared" si="424"/>
        <v>-0.37858620689655176</v>
      </c>
    </row>
    <row r="430" spans="1:36" x14ac:dyDescent="0.3">
      <c r="A430" s="21" t="s">
        <v>1030</v>
      </c>
      <c r="B430" s="11" t="s">
        <v>1060</v>
      </c>
      <c r="C430" s="12">
        <f t="shared" si="394"/>
        <v>1</v>
      </c>
      <c r="D430" s="41" t="str">
        <f t="shared" si="395"/>
        <v>un</v>
      </c>
      <c r="E430" s="41">
        <f>ROUND((X430*(1-$M$5))*(1+BDI!$C$21),2)</f>
        <v>95.32</v>
      </c>
      <c r="F430" s="41">
        <f>ROUND((Y430*(1-$N$5))*(1+BDI!$C$21),2)</f>
        <v>4.2300000000000004</v>
      </c>
      <c r="G430" s="41">
        <f t="shared" si="381"/>
        <v>99.55</v>
      </c>
      <c r="H430" s="13">
        <f t="shared" si="396"/>
        <v>95.32</v>
      </c>
      <c r="I430" s="13">
        <f t="shared" si="397"/>
        <v>4.2300000000000004</v>
      </c>
      <c r="J430" s="14">
        <f t="shared" si="380"/>
        <v>99.55</v>
      </c>
      <c r="M430" s="54"/>
      <c r="N430" s="56"/>
      <c r="V430" s="74">
        <v>1</v>
      </c>
      <c r="W430" s="74" t="s">
        <v>109</v>
      </c>
      <c r="X430" s="13">
        <v>119.08</v>
      </c>
      <c r="Y430" s="13">
        <v>5.28</v>
      </c>
      <c r="Z430" s="13">
        <f t="shared" si="398"/>
        <v>124.36</v>
      </c>
      <c r="AB430" s="74">
        <v>1</v>
      </c>
      <c r="AC430" s="74" t="s">
        <v>109</v>
      </c>
      <c r="AD430" s="13">
        <v>153.4</v>
      </c>
      <c r="AE430" s="13">
        <v>6.8</v>
      </c>
      <c r="AF430" s="13">
        <f t="shared" si="399"/>
        <v>160.20000000000002</v>
      </c>
      <c r="AH430" s="89">
        <f t="shared" si="422"/>
        <v>-0.37861799217731429</v>
      </c>
      <c r="AI430" s="89">
        <f t="shared" si="423"/>
        <v>-0.37794117647058811</v>
      </c>
      <c r="AJ430" s="89">
        <f t="shared" si="424"/>
        <v>-0.37858926342072419</v>
      </c>
    </row>
    <row r="431" spans="1:36" x14ac:dyDescent="0.3">
      <c r="A431" s="19">
        <v>22</v>
      </c>
      <c r="B431" s="20" t="s">
        <v>787</v>
      </c>
      <c r="C431" s="76"/>
      <c r="D431" s="58"/>
      <c r="E431" s="58"/>
      <c r="F431" s="58"/>
      <c r="G431" s="58"/>
      <c r="H431" s="24">
        <f t="shared" ref="H431:I431" si="425">SUM(H432:H443)</f>
        <v>37147.07</v>
      </c>
      <c r="I431" s="24">
        <f t="shared" si="425"/>
        <v>17566.610000000004</v>
      </c>
      <c r="J431" s="24">
        <f>SUM(J432:J443)</f>
        <v>54713.68</v>
      </c>
      <c r="M431" s="54"/>
      <c r="N431" s="56"/>
      <c r="V431" s="75"/>
      <c r="W431" s="75"/>
      <c r="X431" s="23"/>
      <c r="Y431" s="23"/>
      <c r="Z431" s="23"/>
      <c r="AB431" s="75"/>
      <c r="AC431" s="75"/>
      <c r="AD431" s="23"/>
      <c r="AE431" s="23"/>
      <c r="AF431" s="23"/>
      <c r="AH431" s="89">
        <f t="shared" si="422"/>
        <v>0</v>
      </c>
      <c r="AI431" s="89">
        <f t="shared" si="423"/>
        <v>0</v>
      </c>
      <c r="AJ431" s="89">
        <f t="shared" si="424"/>
        <v>0</v>
      </c>
    </row>
    <row r="432" spans="1:36" x14ac:dyDescent="0.3">
      <c r="A432" s="21" t="s">
        <v>788</v>
      </c>
      <c r="B432" s="11" t="s">
        <v>789</v>
      </c>
      <c r="C432" s="12">
        <f t="shared" ref="C432:C443" si="426">V432</f>
        <v>149</v>
      </c>
      <c r="D432" s="41" t="str">
        <f t="shared" ref="D432:D443" si="427">W432</f>
        <v>un</v>
      </c>
      <c r="E432" s="41">
        <f>ROUND((X432*(1-$M$5))*(1+BDI!$C$21),2)</f>
        <v>113.67</v>
      </c>
      <c r="F432" s="41">
        <f>ROUND((Y432*(1-$N$5))*(1+BDI!$C$21),2)</f>
        <v>24.36</v>
      </c>
      <c r="G432" s="41">
        <f t="shared" si="381"/>
        <v>138.03</v>
      </c>
      <c r="H432" s="13">
        <f t="shared" ref="H432:H443" si="428">C432*E432</f>
        <v>16936.830000000002</v>
      </c>
      <c r="I432" s="13">
        <f t="shared" ref="I432:I443" si="429">C432*F432</f>
        <v>3629.64</v>
      </c>
      <c r="J432" s="14">
        <f t="shared" si="380"/>
        <v>20566.47</v>
      </c>
      <c r="M432" s="54"/>
      <c r="N432" s="56"/>
      <c r="V432" s="74">
        <v>149</v>
      </c>
      <c r="W432" s="74" t="s">
        <v>109</v>
      </c>
      <c r="X432" s="13">
        <v>142</v>
      </c>
      <c r="Y432" s="13">
        <v>30.43</v>
      </c>
      <c r="Z432" s="13">
        <f t="shared" ref="Z432:Z443" si="430">SUM(X432:Y432)</f>
        <v>172.43</v>
      </c>
      <c r="AB432" s="74">
        <v>149</v>
      </c>
      <c r="AC432" s="74" t="s">
        <v>109</v>
      </c>
      <c r="AD432" s="13">
        <v>182.92</v>
      </c>
      <c r="AE432" s="13">
        <v>39.200000000000003</v>
      </c>
      <c r="AF432" s="13">
        <f t="shared" ref="AF432:AF443" si="431">SUM(AD432:AE432)</f>
        <v>222.12</v>
      </c>
      <c r="AH432" s="89">
        <f t="shared" si="422"/>
        <v>-0.37858080034987973</v>
      </c>
      <c r="AI432" s="89">
        <f t="shared" si="423"/>
        <v>-0.37857142857142867</v>
      </c>
      <c r="AJ432" s="89">
        <f t="shared" si="424"/>
        <v>-0.37857914640734736</v>
      </c>
    </row>
    <row r="433" spans="1:36" x14ac:dyDescent="0.3">
      <c r="A433" s="21" t="s">
        <v>790</v>
      </c>
      <c r="B433" s="11" t="s">
        <v>791</v>
      </c>
      <c r="C433" s="12">
        <f t="shared" si="426"/>
        <v>11</v>
      </c>
      <c r="D433" s="41" t="str">
        <f t="shared" si="427"/>
        <v>un</v>
      </c>
      <c r="E433" s="41">
        <f>ROUND((X433*(1-$M$5))*(1+BDI!$C$21),2)</f>
        <v>119.99</v>
      </c>
      <c r="F433" s="41">
        <f>ROUND((Y433*(1-$N$5))*(1+BDI!$C$21),2)</f>
        <v>14.62</v>
      </c>
      <c r="G433" s="41">
        <f t="shared" si="381"/>
        <v>134.60999999999999</v>
      </c>
      <c r="H433" s="13">
        <f t="shared" si="428"/>
        <v>1319.8899999999999</v>
      </c>
      <c r="I433" s="13">
        <f t="shared" si="429"/>
        <v>160.82</v>
      </c>
      <c r="J433" s="14">
        <f t="shared" si="380"/>
        <v>1480.7099999999998</v>
      </c>
      <c r="M433" s="54"/>
      <c r="N433" s="56"/>
      <c r="V433" s="74">
        <v>11</v>
      </c>
      <c r="W433" s="74" t="s">
        <v>109</v>
      </c>
      <c r="X433" s="13">
        <v>149.9</v>
      </c>
      <c r="Y433" s="13">
        <v>18.260000000000002</v>
      </c>
      <c r="Z433" s="13">
        <f t="shared" si="430"/>
        <v>168.16</v>
      </c>
      <c r="AB433" s="74">
        <v>11</v>
      </c>
      <c r="AC433" s="74" t="s">
        <v>109</v>
      </c>
      <c r="AD433" s="13">
        <v>193.1</v>
      </c>
      <c r="AE433" s="13">
        <v>23.52</v>
      </c>
      <c r="AF433" s="13">
        <f t="shared" si="431"/>
        <v>216.62</v>
      </c>
      <c r="AH433" s="89">
        <f t="shared" si="422"/>
        <v>-0.37861211807353701</v>
      </c>
      <c r="AI433" s="89">
        <f t="shared" si="423"/>
        <v>-0.37840136054421769</v>
      </c>
      <c r="AJ433" s="89">
        <f t="shared" si="424"/>
        <v>-0.37858923460437643</v>
      </c>
    </row>
    <row r="434" spans="1:36" x14ac:dyDescent="0.3">
      <c r="A434" s="21" t="s">
        <v>792</v>
      </c>
      <c r="B434" s="11" t="s">
        <v>793</v>
      </c>
      <c r="C434" s="12">
        <f t="shared" si="426"/>
        <v>65</v>
      </c>
      <c r="D434" s="41" t="str">
        <f t="shared" si="427"/>
        <v>un</v>
      </c>
      <c r="E434" s="41">
        <f>ROUND((X434*(1-$M$5))*(1+BDI!$C$21),2)</f>
        <v>45.31</v>
      </c>
      <c r="F434" s="41">
        <f>ROUND((Y434*(1-$N$5))*(1+BDI!$C$21),2)</f>
        <v>14.62</v>
      </c>
      <c r="G434" s="41">
        <f t="shared" si="381"/>
        <v>59.93</v>
      </c>
      <c r="H434" s="13">
        <f t="shared" si="428"/>
        <v>2945.15</v>
      </c>
      <c r="I434" s="13">
        <f t="shared" si="429"/>
        <v>950.3</v>
      </c>
      <c r="J434" s="14">
        <f t="shared" si="380"/>
        <v>3895.45</v>
      </c>
      <c r="M434" s="54"/>
      <c r="N434" s="56"/>
      <c r="V434" s="74">
        <v>65</v>
      </c>
      <c r="W434" s="74" t="s">
        <v>109</v>
      </c>
      <c r="X434" s="13">
        <v>56.6</v>
      </c>
      <c r="Y434" s="13">
        <v>18.260000000000002</v>
      </c>
      <c r="Z434" s="13">
        <f t="shared" si="430"/>
        <v>74.86</v>
      </c>
      <c r="AB434" s="74">
        <v>65</v>
      </c>
      <c r="AC434" s="74" t="s">
        <v>109</v>
      </c>
      <c r="AD434" s="13">
        <v>72.91</v>
      </c>
      <c r="AE434" s="13">
        <v>23.52</v>
      </c>
      <c r="AF434" s="13">
        <f t="shared" si="431"/>
        <v>96.429999999999993</v>
      </c>
      <c r="AH434" s="89">
        <f t="shared" si="422"/>
        <v>-0.37854889589905361</v>
      </c>
      <c r="AI434" s="89">
        <f t="shared" si="423"/>
        <v>-0.37840136054421769</v>
      </c>
      <c r="AJ434" s="89">
        <f t="shared" si="424"/>
        <v>-0.37851291091983819</v>
      </c>
    </row>
    <row r="435" spans="1:36" x14ac:dyDescent="0.3">
      <c r="A435" s="21" t="s">
        <v>794</v>
      </c>
      <c r="B435" s="11" t="s">
        <v>795</v>
      </c>
      <c r="C435" s="12">
        <f t="shared" si="426"/>
        <v>51</v>
      </c>
      <c r="D435" s="41" t="str">
        <f t="shared" si="427"/>
        <v>un</v>
      </c>
      <c r="E435" s="41">
        <f>ROUND((X435*(1-$M$5))*(1+BDI!$C$21),2)</f>
        <v>42.62</v>
      </c>
      <c r="F435" s="41">
        <f>ROUND((Y435*(1-$N$5))*(1+BDI!$C$21),2)</f>
        <v>24.36</v>
      </c>
      <c r="G435" s="41">
        <f t="shared" si="381"/>
        <v>66.97999999999999</v>
      </c>
      <c r="H435" s="13">
        <f t="shared" si="428"/>
        <v>2173.62</v>
      </c>
      <c r="I435" s="13">
        <f t="shared" si="429"/>
        <v>1242.3599999999999</v>
      </c>
      <c r="J435" s="14">
        <f t="shared" si="380"/>
        <v>3415.9799999999996</v>
      </c>
      <c r="M435" s="54"/>
      <c r="N435" s="56"/>
      <c r="V435" s="74">
        <v>51</v>
      </c>
      <c r="W435" s="74" t="s">
        <v>109</v>
      </c>
      <c r="X435" s="13">
        <v>53.24</v>
      </c>
      <c r="Y435" s="13">
        <v>30.43</v>
      </c>
      <c r="Z435" s="13">
        <f t="shared" si="430"/>
        <v>83.67</v>
      </c>
      <c r="AB435" s="74">
        <v>51</v>
      </c>
      <c r="AC435" s="74" t="s">
        <v>109</v>
      </c>
      <c r="AD435" s="13">
        <v>68.58</v>
      </c>
      <c r="AE435" s="13">
        <v>39.200000000000003</v>
      </c>
      <c r="AF435" s="13">
        <f t="shared" si="431"/>
        <v>107.78</v>
      </c>
      <c r="AH435" s="89">
        <f t="shared" si="422"/>
        <v>-0.37853601633129197</v>
      </c>
      <c r="AI435" s="89">
        <f t="shared" si="423"/>
        <v>-0.37857142857142867</v>
      </c>
      <c r="AJ435" s="89">
        <f t="shared" si="424"/>
        <v>-0.37854889589905372</v>
      </c>
    </row>
    <row r="436" spans="1:36" x14ac:dyDescent="0.3">
      <c r="A436" s="21" t="s">
        <v>796</v>
      </c>
      <c r="B436" s="11" t="s">
        <v>797</v>
      </c>
      <c r="C436" s="12">
        <f t="shared" si="426"/>
        <v>41</v>
      </c>
      <c r="D436" s="41" t="str">
        <f t="shared" si="427"/>
        <v>un</v>
      </c>
      <c r="E436" s="41">
        <f>ROUND((X436*(1-$M$5))*(1+BDI!$C$21),2)</f>
        <v>30.7</v>
      </c>
      <c r="F436" s="41">
        <f>ROUND((Y436*(1-$N$5))*(1+BDI!$C$21),2)</f>
        <v>24.36</v>
      </c>
      <c r="G436" s="41">
        <f t="shared" si="381"/>
        <v>55.06</v>
      </c>
      <c r="H436" s="13">
        <f t="shared" si="428"/>
        <v>1258.7</v>
      </c>
      <c r="I436" s="13">
        <f t="shared" si="429"/>
        <v>998.76</v>
      </c>
      <c r="J436" s="14">
        <f t="shared" si="380"/>
        <v>2257.46</v>
      </c>
      <c r="M436" s="54"/>
      <c r="N436" s="56"/>
      <c r="V436" s="74">
        <v>41</v>
      </c>
      <c r="W436" s="74" t="s">
        <v>109</v>
      </c>
      <c r="X436" s="13">
        <v>38.35</v>
      </c>
      <c r="Y436" s="13">
        <v>30.43</v>
      </c>
      <c r="Z436" s="13">
        <f t="shared" si="430"/>
        <v>68.78</v>
      </c>
      <c r="AB436" s="74">
        <v>41</v>
      </c>
      <c r="AC436" s="74" t="s">
        <v>109</v>
      </c>
      <c r="AD436" s="13">
        <v>49.4</v>
      </c>
      <c r="AE436" s="13">
        <v>39.200000000000003</v>
      </c>
      <c r="AF436" s="13">
        <f t="shared" si="431"/>
        <v>88.6</v>
      </c>
      <c r="AH436" s="89">
        <f t="shared" si="422"/>
        <v>-0.37854251012145745</v>
      </c>
      <c r="AI436" s="89">
        <f t="shared" si="423"/>
        <v>-0.37857142857142867</v>
      </c>
      <c r="AJ436" s="89">
        <f t="shared" si="424"/>
        <v>-0.37855530474040622</v>
      </c>
    </row>
    <row r="437" spans="1:36" x14ac:dyDescent="0.3">
      <c r="A437" s="21" t="s">
        <v>798</v>
      </c>
      <c r="B437" s="11" t="s">
        <v>799</v>
      </c>
      <c r="C437" s="12">
        <f t="shared" si="426"/>
        <v>1</v>
      </c>
      <c r="D437" s="41" t="str">
        <f t="shared" si="427"/>
        <v>un</v>
      </c>
      <c r="E437" s="41">
        <f>ROUND((X437*(1-$M$5))*(1+BDI!$C$21),2)</f>
        <v>75.53</v>
      </c>
      <c r="F437" s="41">
        <f>ROUND((Y437*(1-$N$5))*(1+BDI!$C$21),2)</f>
        <v>19.48</v>
      </c>
      <c r="G437" s="41">
        <f t="shared" si="381"/>
        <v>95.01</v>
      </c>
      <c r="H437" s="13">
        <f t="shared" si="428"/>
        <v>75.53</v>
      </c>
      <c r="I437" s="13">
        <f t="shared" si="429"/>
        <v>19.48</v>
      </c>
      <c r="J437" s="14">
        <f t="shared" si="380"/>
        <v>95.01</v>
      </c>
      <c r="M437" s="54"/>
      <c r="N437" s="56"/>
      <c r="V437" s="74">
        <v>1</v>
      </c>
      <c r="W437" s="74" t="s">
        <v>109</v>
      </c>
      <c r="X437" s="13">
        <v>94.35</v>
      </c>
      <c r="Y437" s="13">
        <v>24.34</v>
      </c>
      <c r="Z437" s="13">
        <f t="shared" si="430"/>
        <v>118.69</v>
      </c>
      <c r="AB437" s="74">
        <v>1</v>
      </c>
      <c r="AC437" s="74" t="s">
        <v>109</v>
      </c>
      <c r="AD437" s="13">
        <v>121.54</v>
      </c>
      <c r="AE437" s="13">
        <v>31.35</v>
      </c>
      <c r="AF437" s="13">
        <f t="shared" si="431"/>
        <v>152.89000000000001</v>
      </c>
      <c r="AH437" s="89">
        <f t="shared" si="422"/>
        <v>-0.37855849925950302</v>
      </c>
      <c r="AI437" s="89">
        <f t="shared" si="423"/>
        <v>-0.37862838915470498</v>
      </c>
      <c r="AJ437" s="89">
        <f t="shared" si="424"/>
        <v>-0.37857283013931586</v>
      </c>
    </row>
    <row r="438" spans="1:36" x14ac:dyDescent="0.3">
      <c r="A438" s="21" t="s">
        <v>800</v>
      </c>
      <c r="B438" s="11" t="s">
        <v>801</v>
      </c>
      <c r="C438" s="12">
        <f t="shared" si="426"/>
        <v>53</v>
      </c>
      <c r="D438" s="41" t="str">
        <f t="shared" si="427"/>
        <v>un</v>
      </c>
      <c r="E438" s="41">
        <f>ROUND((X438*(1-$M$5))*(1+BDI!$C$21),2)</f>
        <v>136.94999999999999</v>
      </c>
      <c r="F438" s="41">
        <f>ROUND((Y438*(1-$N$5))*(1+BDI!$C$21),2)</f>
        <v>170.51</v>
      </c>
      <c r="G438" s="41">
        <f t="shared" si="381"/>
        <v>307.45999999999998</v>
      </c>
      <c r="H438" s="13">
        <f t="shared" si="428"/>
        <v>7258.3499999999995</v>
      </c>
      <c r="I438" s="13">
        <f t="shared" si="429"/>
        <v>9037.0299999999988</v>
      </c>
      <c r="J438" s="14">
        <f t="shared" si="380"/>
        <v>16295.38</v>
      </c>
      <c r="M438" s="54"/>
      <c r="N438" s="56"/>
      <c r="V438" s="74">
        <v>53</v>
      </c>
      <c r="W438" s="74" t="s">
        <v>109</v>
      </c>
      <c r="X438" s="13">
        <v>171.08</v>
      </c>
      <c r="Y438" s="13">
        <v>213.01</v>
      </c>
      <c r="Z438" s="13">
        <f t="shared" si="430"/>
        <v>384.09000000000003</v>
      </c>
      <c r="AB438" s="74">
        <v>53</v>
      </c>
      <c r="AC438" s="74" t="s">
        <v>109</v>
      </c>
      <c r="AD438" s="13">
        <v>220.39</v>
      </c>
      <c r="AE438" s="13">
        <v>274.39999999999998</v>
      </c>
      <c r="AF438" s="13">
        <f t="shared" si="431"/>
        <v>494.78999999999996</v>
      </c>
      <c r="AH438" s="89">
        <f t="shared" si="422"/>
        <v>-0.37860156994418981</v>
      </c>
      <c r="AI438" s="89">
        <f t="shared" si="423"/>
        <v>-0.37860787172011656</v>
      </c>
      <c r="AJ438" s="89">
        <f t="shared" si="424"/>
        <v>-0.37860506477495504</v>
      </c>
    </row>
    <row r="439" spans="1:36" x14ac:dyDescent="0.3">
      <c r="A439" s="21" t="s">
        <v>802</v>
      </c>
      <c r="B439" s="11" t="s">
        <v>803</v>
      </c>
      <c r="C439" s="12">
        <f t="shared" si="426"/>
        <v>9</v>
      </c>
      <c r="D439" s="41" t="str">
        <f t="shared" si="427"/>
        <v>un</v>
      </c>
      <c r="E439" s="41">
        <f>ROUND((X439*(1-$M$5))*(1+BDI!$C$21),2)</f>
        <v>18.440000000000001</v>
      </c>
      <c r="F439" s="41">
        <f>ROUND((Y439*(1-$N$5))*(1+BDI!$C$21),2)</f>
        <v>7.8</v>
      </c>
      <c r="G439" s="41">
        <f t="shared" si="381"/>
        <v>26.240000000000002</v>
      </c>
      <c r="H439" s="13">
        <f t="shared" si="428"/>
        <v>165.96</v>
      </c>
      <c r="I439" s="13">
        <f t="shared" si="429"/>
        <v>70.2</v>
      </c>
      <c r="J439" s="14">
        <f t="shared" si="380"/>
        <v>236.16000000000003</v>
      </c>
      <c r="M439" s="54"/>
      <c r="N439" s="56"/>
      <c r="V439" s="74">
        <v>9</v>
      </c>
      <c r="W439" s="74" t="s">
        <v>109</v>
      </c>
      <c r="X439" s="13">
        <v>23.04</v>
      </c>
      <c r="Y439" s="13">
        <v>9.74</v>
      </c>
      <c r="Z439" s="13">
        <f t="shared" si="430"/>
        <v>32.78</v>
      </c>
      <c r="AB439" s="74">
        <v>9</v>
      </c>
      <c r="AC439" s="74" t="s">
        <v>109</v>
      </c>
      <c r="AD439" s="13">
        <v>29.68</v>
      </c>
      <c r="AE439" s="13">
        <v>12.55</v>
      </c>
      <c r="AF439" s="13">
        <f t="shared" si="431"/>
        <v>42.230000000000004</v>
      </c>
      <c r="AH439" s="89">
        <f t="shared" si="422"/>
        <v>-0.37870619946091644</v>
      </c>
      <c r="AI439" s="89">
        <f t="shared" si="423"/>
        <v>-0.37848605577689243</v>
      </c>
      <c r="AJ439" s="89">
        <f t="shared" si="424"/>
        <v>-0.37864077669902918</v>
      </c>
    </row>
    <row r="440" spans="1:36" x14ac:dyDescent="0.3">
      <c r="A440" s="21" t="s">
        <v>804</v>
      </c>
      <c r="B440" s="11" t="s">
        <v>805</v>
      </c>
      <c r="C440" s="12">
        <f t="shared" si="426"/>
        <v>23</v>
      </c>
      <c r="D440" s="41" t="str">
        <f t="shared" si="427"/>
        <v xml:space="preserve">UN </v>
      </c>
      <c r="E440" s="41">
        <f>ROUND((X440*(1-$M$5))*(1+BDI!$C$21),2)</f>
        <v>34.35</v>
      </c>
      <c r="F440" s="41">
        <f>ROUND((Y440*(1-$N$5))*(1+BDI!$C$21),2)</f>
        <v>43.16</v>
      </c>
      <c r="G440" s="41">
        <f t="shared" si="381"/>
        <v>77.509999999999991</v>
      </c>
      <c r="H440" s="13">
        <f t="shared" si="428"/>
        <v>790.05000000000007</v>
      </c>
      <c r="I440" s="13">
        <f t="shared" si="429"/>
        <v>992.68</v>
      </c>
      <c r="J440" s="14">
        <f t="shared" si="380"/>
        <v>1782.7299999999998</v>
      </c>
      <c r="M440" s="54"/>
      <c r="N440" s="55"/>
      <c r="V440" s="74">
        <v>23</v>
      </c>
      <c r="W440" s="74" t="s">
        <v>459</v>
      </c>
      <c r="X440" s="13">
        <v>42.91</v>
      </c>
      <c r="Y440" s="13">
        <v>53.92</v>
      </c>
      <c r="Z440" s="13">
        <f t="shared" si="430"/>
        <v>96.83</v>
      </c>
      <c r="AB440" s="74">
        <v>23</v>
      </c>
      <c r="AC440" s="74" t="s">
        <v>459</v>
      </c>
      <c r="AD440" s="13">
        <v>55.28</v>
      </c>
      <c r="AE440" s="13">
        <v>69.459999999999994</v>
      </c>
      <c r="AF440" s="13">
        <f t="shared" si="431"/>
        <v>124.74</v>
      </c>
      <c r="AH440" s="89">
        <f t="shared" si="422"/>
        <v>-0.37861794500723589</v>
      </c>
      <c r="AI440" s="89">
        <f t="shared" si="423"/>
        <v>-0.37863518571839905</v>
      </c>
      <c r="AJ440" s="89">
        <f t="shared" si="424"/>
        <v>-0.37862754529421205</v>
      </c>
    </row>
    <row r="441" spans="1:36" x14ac:dyDescent="0.3">
      <c r="A441" s="21" t="s">
        <v>806</v>
      </c>
      <c r="B441" s="11" t="s">
        <v>807</v>
      </c>
      <c r="C441" s="12">
        <f t="shared" si="426"/>
        <v>17</v>
      </c>
      <c r="D441" s="41" t="str">
        <f t="shared" si="427"/>
        <v>un</v>
      </c>
      <c r="E441" s="41">
        <f>ROUND((X441*(1-$M$5))*(1+BDI!$C$21),2)</f>
        <v>13.35</v>
      </c>
      <c r="F441" s="41">
        <f>ROUND((Y441*(1-$N$5))*(1+BDI!$C$21),2)</f>
        <v>3.41</v>
      </c>
      <c r="G441" s="41">
        <f t="shared" si="381"/>
        <v>16.759999999999998</v>
      </c>
      <c r="H441" s="13">
        <f t="shared" si="428"/>
        <v>226.95</v>
      </c>
      <c r="I441" s="13">
        <f t="shared" si="429"/>
        <v>57.97</v>
      </c>
      <c r="J441" s="14">
        <f t="shared" si="380"/>
        <v>284.91999999999996</v>
      </c>
      <c r="M441" s="54"/>
      <c r="N441" s="56"/>
      <c r="V441" s="74">
        <v>17</v>
      </c>
      <c r="W441" s="74" t="s">
        <v>109</v>
      </c>
      <c r="X441" s="13">
        <v>16.68</v>
      </c>
      <c r="Y441" s="13">
        <v>4.26</v>
      </c>
      <c r="Z441" s="13">
        <f t="shared" si="430"/>
        <v>20.939999999999998</v>
      </c>
      <c r="AB441" s="74">
        <v>17</v>
      </c>
      <c r="AC441" s="74" t="s">
        <v>109</v>
      </c>
      <c r="AD441" s="13">
        <v>21.49</v>
      </c>
      <c r="AE441" s="13">
        <v>5.49</v>
      </c>
      <c r="AF441" s="13">
        <f t="shared" si="431"/>
        <v>26.979999999999997</v>
      </c>
      <c r="AH441" s="89">
        <f t="shared" si="422"/>
        <v>-0.37878082829222892</v>
      </c>
      <c r="AI441" s="89">
        <f t="shared" si="423"/>
        <v>-0.37887067395264118</v>
      </c>
      <c r="AJ441" s="89">
        <f t="shared" si="424"/>
        <v>-0.37879911045218684</v>
      </c>
    </row>
    <row r="442" spans="1:36" x14ac:dyDescent="0.3">
      <c r="A442" s="21" t="s">
        <v>808</v>
      </c>
      <c r="B442" s="11" t="s">
        <v>809</v>
      </c>
      <c r="C442" s="12">
        <f t="shared" ref="C442" si="432">V442</f>
        <v>9</v>
      </c>
      <c r="D442" s="41" t="str">
        <f t="shared" ref="D442" si="433">W442</f>
        <v>un</v>
      </c>
      <c r="E442" s="41">
        <f>ROUND((X442*(1-$M$5))*(1+BDI!$C$21),2)</f>
        <v>426.88</v>
      </c>
      <c r="F442" s="41">
        <f>ROUND((Y442*(1-$N$5))*(1+BDI!$C$21),2)</f>
        <v>39.85</v>
      </c>
      <c r="G442" s="41">
        <f t="shared" ref="G442" si="434">F442+E442</f>
        <v>466.73</v>
      </c>
      <c r="H442" s="13">
        <f t="shared" ref="H442" si="435">C442*E442</f>
        <v>3841.92</v>
      </c>
      <c r="I442" s="13">
        <f t="shared" ref="I442" si="436">C442*F442</f>
        <v>358.65000000000003</v>
      </c>
      <c r="J442" s="14">
        <f t="shared" ref="J442" si="437">SUM(E442:F442)*C442</f>
        <v>4200.57</v>
      </c>
      <c r="M442" s="54"/>
      <c r="N442" s="56"/>
      <c r="V442" s="74">
        <v>9</v>
      </c>
      <c r="W442" s="74" t="s">
        <v>109</v>
      </c>
      <c r="X442" s="13">
        <v>533.28</v>
      </c>
      <c r="Y442" s="13">
        <v>49.78</v>
      </c>
      <c r="Z442" s="13">
        <f t="shared" ref="Z442" si="438">SUM(X442:Y442)</f>
        <v>583.05999999999995</v>
      </c>
      <c r="AB442" s="74">
        <v>9</v>
      </c>
      <c r="AC442" s="74" t="s">
        <v>109</v>
      </c>
      <c r="AD442" s="13">
        <v>686.97</v>
      </c>
      <c r="AE442" s="13">
        <v>64.13</v>
      </c>
      <c r="AF442" s="13">
        <f t="shared" ref="AF442" si="439">SUM(AD442:AE442)</f>
        <v>751.1</v>
      </c>
      <c r="AH442" s="89">
        <f t="shared" ref="AH442" si="440">IF(E442=0,0,(E442/AD442)-1)</f>
        <v>-0.37860459699841331</v>
      </c>
      <c r="AI442" s="89">
        <f t="shared" ref="AI442" si="441">IF(F442=0,0,(F442/AE442)-1)</f>
        <v>-0.37860595665055352</v>
      </c>
      <c r="AJ442" s="89">
        <f t="shared" ref="AJ442" si="442">IF(G442=0,0,(G442/AF442)-1)</f>
        <v>-0.37860471308747168</v>
      </c>
    </row>
    <row r="443" spans="1:36" x14ac:dyDescent="0.3">
      <c r="A443" s="21" t="s">
        <v>810</v>
      </c>
      <c r="B443" s="11" t="s">
        <v>811</v>
      </c>
      <c r="C443" s="12">
        <f t="shared" si="426"/>
        <v>1</v>
      </c>
      <c r="D443" s="41" t="str">
        <f t="shared" si="427"/>
        <v>un</v>
      </c>
      <c r="E443" s="41">
        <f>ROUND((X443*(1-$M$5))*(1+BDI!$C$21),2)</f>
        <v>154.12</v>
      </c>
      <c r="F443" s="41">
        <f>ROUND((Y443*(1-$N$5))*(1+BDI!$C$21),2)</f>
        <v>48.72</v>
      </c>
      <c r="G443" s="41">
        <f t="shared" si="381"/>
        <v>202.84</v>
      </c>
      <c r="H443" s="13">
        <f t="shared" si="428"/>
        <v>154.12</v>
      </c>
      <c r="I443" s="13">
        <f t="shared" si="429"/>
        <v>48.72</v>
      </c>
      <c r="J443" s="14">
        <f t="shared" si="380"/>
        <v>202.84</v>
      </c>
      <c r="M443" s="54"/>
      <c r="N443" s="56"/>
      <c r="V443" s="74">
        <v>1</v>
      </c>
      <c r="W443" s="74" t="s">
        <v>109</v>
      </c>
      <c r="X443" s="13">
        <v>192.53</v>
      </c>
      <c r="Y443" s="13">
        <v>60.86</v>
      </c>
      <c r="Z443" s="13">
        <f t="shared" si="430"/>
        <v>253.39</v>
      </c>
      <c r="AB443" s="74">
        <v>1</v>
      </c>
      <c r="AC443" s="74" t="s">
        <v>109</v>
      </c>
      <c r="AD443" s="13">
        <v>248.02</v>
      </c>
      <c r="AE443" s="13">
        <v>78.400000000000006</v>
      </c>
      <c r="AF443" s="13">
        <f t="shared" si="431"/>
        <v>326.42</v>
      </c>
      <c r="AH443" s="89">
        <f t="shared" si="422"/>
        <v>-0.37859850012095797</v>
      </c>
      <c r="AI443" s="89">
        <f t="shared" si="423"/>
        <v>-0.37857142857142867</v>
      </c>
      <c r="AJ443" s="89">
        <f t="shared" si="424"/>
        <v>-0.37859199803933585</v>
      </c>
    </row>
    <row r="444" spans="1:36" x14ac:dyDescent="0.3">
      <c r="A444" s="19">
        <v>23</v>
      </c>
      <c r="B444" s="20" t="s">
        <v>812</v>
      </c>
      <c r="C444" s="76"/>
      <c r="D444" s="58"/>
      <c r="E444" s="58"/>
      <c r="F444" s="58"/>
      <c r="G444" s="58"/>
      <c r="H444" s="23">
        <v>0</v>
      </c>
      <c r="I444" s="23">
        <v>0</v>
      </c>
      <c r="J444" s="24">
        <v>0</v>
      </c>
      <c r="M444" s="54"/>
      <c r="N444" s="56"/>
      <c r="V444" s="75"/>
      <c r="W444" s="75"/>
      <c r="X444" s="23"/>
      <c r="Y444" s="23"/>
      <c r="Z444" s="23"/>
      <c r="AB444" s="75"/>
      <c r="AC444" s="75"/>
      <c r="AD444" s="23"/>
      <c r="AE444" s="23"/>
      <c r="AF444" s="23"/>
      <c r="AH444" s="89">
        <f t="shared" si="422"/>
        <v>0</v>
      </c>
      <c r="AI444" s="89">
        <f t="shared" si="423"/>
        <v>0</v>
      </c>
      <c r="AJ444" s="89">
        <f t="shared" si="424"/>
        <v>0</v>
      </c>
    </row>
    <row r="445" spans="1:36" x14ac:dyDescent="0.3">
      <c r="A445" s="19">
        <v>24</v>
      </c>
      <c r="B445" s="20" t="s">
        <v>813</v>
      </c>
      <c r="C445" s="76"/>
      <c r="D445" s="58"/>
      <c r="E445" s="58"/>
      <c r="F445" s="58"/>
      <c r="G445" s="58"/>
      <c r="H445" s="23">
        <v>0</v>
      </c>
      <c r="I445" s="23">
        <v>0</v>
      </c>
      <c r="J445" s="24">
        <v>0</v>
      </c>
      <c r="M445" s="54"/>
      <c r="N445" s="56"/>
      <c r="V445" s="75"/>
      <c r="W445" s="75"/>
      <c r="X445" s="23"/>
      <c r="Y445" s="23"/>
      <c r="Z445" s="23"/>
      <c r="AB445" s="75"/>
      <c r="AC445" s="75"/>
      <c r="AD445" s="23"/>
      <c r="AE445" s="23"/>
      <c r="AF445" s="23"/>
      <c r="AH445" s="89">
        <f t="shared" si="422"/>
        <v>0</v>
      </c>
      <c r="AI445" s="89">
        <f t="shared" si="423"/>
        <v>0</v>
      </c>
      <c r="AJ445" s="89">
        <f t="shared" si="424"/>
        <v>0</v>
      </c>
    </row>
    <row r="446" spans="1:36" x14ac:dyDescent="0.3">
      <c r="A446" s="19">
        <v>25</v>
      </c>
      <c r="B446" s="20" t="s">
        <v>814</v>
      </c>
      <c r="C446" s="76"/>
      <c r="D446" s="58"/>
      <c r="E446" s="58"/>
      <c r="F446" s="58"/>
      <c r="G446" s="58"/>
      <c r="H446" s="23">
        <v>0</v>
      </c>
      <c r="I446" s="23">
        <v>0</v>
      </c>
      <c r="J446" s="24">
        <v>0</v>
      </c>
      <c r="M446" s="54"/>
      <c r="N446" s="56"/>
      <c r="V446" s="75"/>
      <c r="W446" s="75"/>
      <c r="X446" s="23"/>
      <c r="Y446" s="23"/>
      <c r="Z446" s="23"/>
      <c r="AB446" s="75"/>
      <c r="AC446" s="75"/>
      <c r="AD446" s="23"/>
      <c r="AE446" s="23"/>
      <c r="AF446" s="23"/>
      <c r="AH446" s="89">
        <f t="shared" si="422"/>
        <v>0</v>
      </c>
      <c r="AI446" s="89">
        <f t="shared" si="423"/>
        <v>0</v>
      </c>
      <c r="AJ446" s="89">
        <f t="shared" si="424"/>
        <v>0</v>
      </c>
    </row>
    <row r="447" spans="1:36" x14ac:dyDescent="0.3">
      <c r="A447" s="19">
        <v>26</v>
      </c>
      <c r="B447" s="22" t="s">
        <v>815</v>
      </c>
      <c r="C447" s="76"/>
      <c r="D447" s="58"/>
      <c r="E447" s="58"/>
      <c r="F447" s="58"/>
      <c r="G447" s="58"/>
      <c r="H447" s="23">
        <v>0</v>
      </c>
      <c r="I447" s="23">
        <v>0</v>
      </c>
      <c r="J447" s="24">
        <v>0</v>
      </c>
      <c r="M447" s="54"/>
      <c r="N447" s="56"/>
      <c r="V447" s="75"/>
      <c r="W447" s="75"/>
      <c r="X447" s="23"/>
      <c r="Y447" s="23"/>
      <c r="Z447" s="23"/>
      <c r="AB447" s="75"/>
      <c r="AC447" s="75"/>
      <c r="AD447" s="23"/>
      <c r="AE447" s="23"/>
      <c r="AF447" s="23"/>
      <c r="AH447" s="89">
        <f t="shared" si="422"/>
        <v>0</v>
      </c>
      <c r="AI447" s="89">
        <f t="shared" si="423"/>
        <v>0</v>
      </c>
      <c r="AJ447" s="89">
        <f t="shared" si="424"/>
        <v>0</v>
      </c>
    </row>
    <row r="448" spans="1:36" x14ac:dyDescent="0.3">
      <c r="A448" s="19">
        <v>27</v>
      </c>
      <c r="B448" s="20" t="s">
        <v>816</v>
      </c>
      <c r="C448" s="76"/>
      <c r="D448" s="58"/>
      <c r="E448" s="58"/>
      <c r="F448" s="58"/>
      <c r="G448" s="58"/>
      <c r="H448" s="23">
        <v>0</v>
      </c>
      <c r="I448" s="23">
        <v>0</v>
      </c>
      <c r="J448" s="24">
        <v>0</v>
      </c>
      <c r="M448" s="54"/>
      <c r="N448" s="56"/>
      <c r="V448" s="75"/>
      <c r="W448" s="75"/>
      <c r="X448" s="23"/>
      <c r="Y448" s="23"/>
      <c r="Z448" s="23"/>
      <c r="AB448" s="75"/>
      <c r="AC448" s="75"/>
      <c r="AD448" s="23"/>
      <c r="AE448" s="23"/>
      <c r="AF448" s="23"/>
      <c r="AH448" s="89">
        <f t="shared" si="422"/>
        <v>0</v>
      </c>
      <c r="AI448" s="89">
        <f t="shared" si="423"/>
        <v>0</v>
      </c>
      <c r="AJ448" s="89">
        <f t="shared" si="424"/>
        <v>0</v>
      </c>
    </row>
    <row r="449" spans="1:36" x14ac:dyDescent="0.3">
      <c r="A449" s="19">
        <v>28</v>
      </c>
      <c r="B449" s="20" t="s">
        <v>817</v>
      </c>
      <c r="C449" s="76"/>
      <c r="D449" s="58"/>
      <c r="E449" s="58"/>
      <c r="F449" s="58"/>
      <c r="G449" s="58"/>
      <c r="H449" s="24">
        <f t="shared" ref="H449:I449" si="443">SUM(H450:H483)</f>
        <v>96008.290000000023</v>
      </c>
      <c r="I449" s="24">
        <f t="shared" si="443"/>
        <v>16228.340000000002</v>
      </c>
      <c r="J449" s="24">
        <f>SUM(J450:J483)</f>
        <v>112236.63</v>
      </c>
      <c r="M449" s="54"/>
      <c r="N449" s="56"/>
      <c r="V449" s="75"/>
      <c r="W449" s="75"/>
      <c r="X449" s="23"/>
      <c r="Y449" s="23"/>
      <c r="Z449" s="23"/>
      <c r="AB449" s="75"/>
      <c r="AC449" s="75"/>
      <c r="AD449" s="23"/>
      <c r="AE449" s="23"/>
      <c r="AF449" s="23"/>
      <c r="AH449" s="89">
        <f t="shared" si="422"/>
        <v>0</v>
      </c>
      <c r="AI449" s="89">
        <f t="shared" si="423"/>
        <v>0</v>
      </c>
      <c r="AJ449" s="89">
        <f t="shared" si="424"/>
        <v>0</v>
      </c>
    </row>
    <row r="450" spans="1:36" x14ac:dyDescent="0.3">
      <c r="A450" s="21" t="s">
        <v>818</v>
      </c>
      <c r="B450" s="18" t="s">
        <v>819</v>
      </c>
      <c r="C450" s="12">
        <f t="shared" ref="C450:C483" si="444">V450</f>
        <v>9</v>
      </c>
      <c r="D450" s="41" t="str">
        <f t="shared" ref="D450:D483" si="445">W450</f>
        <v xml:space="preserve">UN </v>
      </c>
      <c r="E450" s="41">
        <f>ROUND((X450*(1-$M$5))*(1+BDI!$C$21),2)</f>
        <v>383.94</v>
      </c>
      <c r="F450" s="41">
        <f>ROUND((Y450*(1-$N$5))*(1+BDI!$C$21),2)</f>
        <v>29.93</v>
      </c>
      <c r="G450" s="41">
        <f t="shared" si="381"/>
        <v>413.87</v>
      </c>
      <c r="H450" s="13">
        <f t="shared" ref="H450:H483" si="446">C450*E450</f>
        <v>3455.46</v>
      </c>
      <c r="I450" s="13">
        <f t="shared" ref="I450:I483" si="447">C450*F450</f>
        <v>269.37</v>
      </c>
      <c r="J450" s="14">
        <f t="shared" ref="J450:J530" si="448">SUM(E450:F450)*C450</f>
        <v>3724.83</v>
      </c>
      <c r="M450" s="54"/>
      <c r="N450" s="56"/>
      <c r="V450" s="74">
        <v>9</v>
      </c>
      <c r="W450" s="74" t="s">
        <v>459</v>
      </c>
      <c r="X450" s="13">
        <v>479.63</v>
      </c>
      <c r="Y450" s="13">
        <v>37.39</v>
      </c>
      <c r="Z450" s="13">
        <f t="shared" ref="Z450:Z483" si="449">SUM(X450:Y450)</f>
        <v>517.02</v>
      </c>
      <c r="AB450" s="74">
        <v>9</v>
      </c>
      <c r="AC450" s="74" t="s">
        <v>459</v>
      </c>
      <c r="AD450" s="13">
        <v>617.86</v>
      </c>
      <c r="AE450" s="13">
        <v>48.17</v>
      </c>
      <c r="AF450" s="13">
        <f t="shared" ref="AF450:AF483" si="450">SUM(AD450:AE450)</f>
        <v>666.03</v>
      </c>
      <c r="AH450" s="89">
        <f t="shared" si="422"/>
        <v>-0.37859709319263268</v>
      </c>
      <c r="AI450" s="89">
        <f t="shared" si="423"/>
        <v>-0.37865891633796966</v>
      </c>
      <c r="AJ450" s="89">
        <f t="shared" si="424"/>
        <v>-0.37860156449409188</v>
      </c>
    </row>
    <row r="451" spans="1:36" x14ac:dyDescent="0.3">
      <c r="A451" s="21" t="s">
        <v>820</v>
      </c>
      <c r="B451" s="11" t="s">
        <v>821</v>
      </c>
      <c r="C451" s="12">
        <f t="shared" si="444"/>
        <v>1</v>
      </c>
      <c r="D451" s="41" t="str">
        <f t="shared" si="445"/>
        <v xml:space="preserve">UN </v>
      </c>
      <c r="E451" s="41">
        <f>ROUND((X451*(1-$M$5))*(1+BDI!$C$21),2)</f>
        <v>172.63</v>
      </c>
      <c r="F451" s="41">
        <f>ROUND((Y451*(1-$N$5))*(1+BDI!$C$21),2)</f>
        <v>29.01</v>
      </c>
      <c r="G451" s="41">
        <f t="shared" si="381"/>
        <v>201.64</v>
      </c>
      <c r="H451" s="13">
        <f t="shared" si="446"/>
        <v>172.63</v>
      </c>
      <c r="I451" s="13">
        <f t="shared" si="447"/>
        <v>29.01</v>
      </c>
      <c r="J451" s="14">
        <f t="shared" si="448"/>
        <v>201.64</v>
      </c>
      <c r="M451" s="54"/>
      <c r="N451" s="56"/>
      <c r="V451" s="74">
        <v>1</v>
      </c>
      <c r="W451" s="74" t="s">
        <v>459</v>
      </c>
      <c r="X451" s="13">
        <v>215.66</v>
      </c>
      <c r="Y451" s="13">
        <v>36.24</v>
      </c>
      <c r="Z451" s="13">
        <f t="shared" si="449"/>
        <v>251.9</v>
      </c>
      <c r="AB451" s="74">
        <v>1</v>
      </c>
      <c r="AC451" s="74" t="s">
        <v>459</v>
      </c>
      <c r="AD451" s="13">
        <v>277.81</v>
      </c>
      <c r="AE451" s="13">
        <v>46.68</v>
      </c>
      <c r="AF451" s="13">
        <f t="shared" si="450"/>
        <v>324.49</v>
      </c>
      <c r="AH451" s="89">
        <f t="shared" si="422"/>
        <v>-0.37860408192649653</v>
      </c>
      <c r="AI451" s="89">
        <f t="shared" si="423"/>
        <v>-0.37853470437017989</v>
      </c>
      <c r="AJ451" s="89">
        <f t="shared" si="424"/>
        <v>-0.37859410151314377</v>
      </c>
    </row>
    <row r="452" spans="1:36" x14ac:dyDescent="0.3">
      <c r="A452" s="21" t="s">
        <v>822</v>
      </c>
      <c r="B452" s="11" t="s">
        <v>823</v>
      </c>
      <c r="C452" s="12">
        <f t="shared" si="444"/>
        <v>3</v>
      </c>
      <c r="D452" s="41" t="str">
        <f t="shared" si="445"/>
        <v xml:space="preserve">UN </v>
      </c>
      <c r="E452" s="41">
        <f>ROUND((X452*(1-$M$5))*(1+BDI!$C$21),2)</f>
        <v>187.63</v>
      </c>
      <c r="F452" s="41">
        <f>ROUND((Y452*(1-$N$5))*(1+BDI!$C$21),2)</f>
        <v>45.32</v>
      </c>
      <c r="G452" s="41">
        <f t="shared" si="381"/>
        <v>232.95</v>
      </c>
      <c r="H452" s="13">
        <f t="shared" si="446"/>
        <v>562.89</v>
      </c>
      <c r="I452" s="13">
        <f t="shared" si="447"/>
        <v>135.96</v>
      </c>
      <c r="J452" s="14">
        <f t="shared" si="448"/>
        <v>698.84999999999991</v>
      </c>
      <c r="M452" s="54"/>
      <c r="N452" s="56"/>
      <c r="V452" s="74">
        <v>3</v>
      </c>
      <c r="W452" s="74" t="s">
        <v>459</v>
      </c>
      <c r="X452" s="13">
        <v>234.39</v>
      </c>
      <c r="Y452" s="13">
        <v>56.61</v>
      </c>
      <c r="Z452" s="13">
        <f t="shared" si="449"/>
        <v>291</v>
      </c>
      <c r="AB452" s="74">
        <v>3</v>
      </c>
      <c r="AC452" s="74" t="s">
        <v>459</v>
      </c>
      <c r="AD452" s="13">
        <v>301.94</v>
      </c>
      <c r="AE452" s="13">
        <v>72.930000000000007</v>
      </c>
      <c r="AF452" s="13">
        <f t="shared" si="450"/>
        <v>374.87</v>
      </c>
      <c r="AH452" s="89">
        <f t="shared" si="422"/>
        <v>-0.37858514936742405</v>
      </c>
      <c r="AI452" s="89">
        <f t="shared" si="423"/>
        <v>-0.37858220211161397</v>
      </c>
      <c r="AJ452" s="89">
        <f t="shared" si="424"/>
        <v>-0.37858457598634199</v>
      </c>
    </row>
    <row r="453" spans="1:36" x14ac:dyDescent="0.3">
      <c r="A453" s="21" t="s">
        <v>824</v>
      </c>
      <c r="B453" s="11" t="s">
        <v>825</v>
      </c>
      <c r="C453" s="12">
        <f t="shared" si="444"/>
        <v>1</v>
      </c>
      <c r="D453" s="41" t="str">
        <f t="shared" si="445"/>
        <v xml:space="preserve">UN </v>
      </c>
      <c r="E453" s="41">
        <f>ROUND((X453*(1-$M$5))*(1+BDI!$C$21),2)</f>
        <v>390.79</v>
      </c>
      <c r="F453" s="41">
        <f>ROUND((Y453*(1-$N$5))*(1+BDI!$C$21),2)</f>
        <v>45.32</v>
      </c>
      <c r="G453" s="41">
        <f t="shared" si="381"/>
        <v>436.11</v>
      </c>
      <c r="H453" s="13">
        <f t="shared" si="446"/>
        <v>390.79</v>
      </c>
      <c r="I453" s="13">
        <f t="shared" si="447"/>
        <v>45.32</v>
      </c>
      <c r="J453" s="14">
        <f t="shared" si="448"/>
        <v>436.11</v>
      </c>
      <c r="M453" s="54"/>
      <c r="N453" s="55"/>
      <c r="V453" s="74">
        <v>1</v>
      </c>
      <c r="W453" s="74" t="s">
        <v>459</v>
      </c>
      <c r="X453" s="13">
        <v>488.19</v>
      </c>
      <c r="Y453" s="13">
        <v>56.61</v>
      </c>
      <c r="Z453" s="13">
        <f t="shared" si="449"/>
        <v>544.79999999999995</v>
      </c>
      <c r="AB453" s="74">
        <v>1</v>
      </c>
      <c r="AC453" s="74" t="s">
        <v>459</v>
      </c>
      <c r="AD453" s="13">
        <v>628.89</v>
      </c>
      <c r="AE453" s="13">
        <v>72.930000000000007</v>
      </c>
      <c r="AF453" s="13">
        <f t="shared" si="450"/>
        <v>701.81999999999994</v>
      </c>
      <c r="AH453" s="89">
        <f t="shared" si="422"/>
        <v>-0.37860357137178202</v>
      </c>
      <c r="AI453" s="89">
        <f t="shared" si="423"/>
        <v>-0.37858220211161397</v>
      </c>
      <c r="AJ453" s="89">
        <f t="shared" si="424"/>
        <v>-0.37860135077370261</v>
      </c>
    </row>
    <row r="454" spans="1:36" x14ac:dyDescent="0.3">
      <c r="A454" s="21" t="s">
        <v>826</v>
      </c>
      <c r="B454" s="11" t="s">
        <v>827</v>
      </c>
      <c r="C454" s="12">
        <f t="shared" si="444"/>
        <v>3</v>
      </c>
      <c r="D454" s="41" t="str">
        <f t="shared" si="445"/>
        <v xml:space="preserve">UN </v>
      </c>
      <c r="E454" s="41">
        <f>ROUND((X454*(1-$M$5))*(1+BDI!$C$21),2)</f>
        <v>3.12</v>
      </c>
      <c r="F454" s="41">
        <f>ROUND((Y454*(1-$N$5))*(1+BDI!$C$21),2)</f>
        <v>45.32</v>
      </c>
      <c r="G454" s="41">
        <f t="shared" si="381"/>
        <v>48.44</v>
      </c>
      <c r="H454" s="13">
        <f t="shared" si="446"/>
        <v>9.36</v>
      </c>
      <c r="I454" s="13">
        <f t="shared" si="447"/>
        <v>135.96</v>
      </c>
      <c r="J454" s="14">
        <f t="shared" si="448"/>
        <v>145.32</v>
      </c>
      <c r="M454" s="54"/>
      <c r="N454" s="55"/>
      <c r="V454" s="74">
        <v>3</v>
      </c>
      <c r="W454" s="74" t="s">
        <v>459</v>
      </c>
      <c r="X454" s="13">
        <v>3.9</v>
      </c>
      <c r="Y454" s="13">
        <v>56.61</v>
      </c>
      <c r="Z454" s="13">
        <f t="shared" si="449"/>
        <v>60.51</v>
      </c>
      <c r="AB454" s="74">
        <v>3</v>
      </c>
      <c r="AC454" s="74" t="s">
        <v>459</v>
      </c>
      <c r="AD454" s="13">
        <v>5.0199999999999996</v>
      </c>
      <c r="AE454" s="13">
        <v>72.930000000000007</v>
      </c>
      <c r="AF454" s="13">
        <f t="shared" si="450"/>
        <v>77.95</v>
      </c>
      <c r="AH454" s="89">
        <f t="shared" si="422"/>
        <v>-0.37848605577689232</v>
      </c>
      <c r="AI454" s="89">
        <f t="shared" si="423"/>
        <v>-0.37858220211161397</v>
      </c>
      <c r="AJ454" s="89">
        <f t="shared" si="424"/>
        <v>-0.37857601026298915</v>
      </c>
    </row>
    <row r="455" spans="1:36" ht="28.8" x14ac:dyDescent="0.3">
      <c r="A455" s="21" t="s">
        <v>828</v>
      </c>
      <c r="B455" s="11" t="s">
        <v>829</v>
      </c>
      <c r="C455" s="12">
        <f t="shared" si="444"/>
        <v>1</v>
      </c>
      <c r="D455" s="41" t="str">
        <f t="shared" si="445"/>
        <v xml:space="preserve">UN </v>
      </c>
      <c r="E455" s="41">
        <f>ROUND((X455*(1-$M$5))*(1+BDI!$C$21),2)</f>
        <v>927.53</v>
      </c>
      <c r="F455" s="41">
        <f>ROUND((Y455*(1-$N$5))*(1+BDI!$C$21),2)</f>
        <v>126.67</v>
      </c>
      <c r="G455" s="41">
        <f t="shared" si="381"/>
        <v>1054.2</v>
      </c>
      <c r="H455" s="13">
        <f t="shared" si="446"/>
        <v>927.53</v>
      </c>
      <c r="I455" s="13">
        <f t="shared" si="447"/>
        <v>126.67</v>
      </c>
      <c r="J455" s="14">
        <f t="shared" si="448"/>
        <v>1054.2</v>
      </c>
      <c r="M455" s="54"/>
      <c r="N455" s="55"/>
      <c r="V455" s="74">
        <v>1</v>
      </c>
      <c r="W455" s="74" t="s">
        <v>459</v>
      </c>
      <c r="X455" s="13">
        <v>1158.71</v>
      </c>
      <c r="Y455" s="13">
        <v>158.24</v>
      </c>
      <c r="Z455" s="13">
        <f t="shared" si="449"/>
        <v>1316.95</v>
      </c>
      <c r="AB455" s="74">
        <v>1</v>
      </c>
      <c r="AC455" s="74" t="s">
        <v>459</v>
      </c>
      <c r="AD455" s="13">
        <v>1492.65</v>
      </c>
      <c r="AE455" s="13">
        <v>203.84</v>
      </c>
      <c r="AF455" s="13">
        <f t="shared" si="450"/>
        <v>1696.49</v>
      </c>
      <c r="AH455" s="89">
        <f t="shared" si="422"/>
        <v>-0.37860181556292505</v>
      </c>
      <c r="AI455" s="89">
        <f t="shared" si="423"/>
        <v>-0.37858124018838302</v>
      </c>
      <c r="AJ455" s="89">
        <f t="shared" si="424"/>
        <v>-0.37859934335009338</v>
      </c>
    </row>
    <row r="456" spans="1:36" x14ac:dyDescent="0.3">
      <c r="A456" s="21" t="s">
        <v>830</v>
      </c>
      <c r="B456" s="11" t="s">
        <v>831</v>
      </c>
      <c r="C456" s="12">
        <f t="shared" si="444"/>
        <v>6</v>
      </c>
      <c r="D456" s="41" t="str">
        <f t="shared" si="445"/>
        <v xml:space="preserve">UN </v>
      </c>
      <c r="E456" s="41">
        <f>ROUND((X456*(1-$M$5))*(1+BDI!$C$21),2)</f>
        <v>8.81</v>
      </c>
      <c r="F456" s="41">
        <f>ROUND((Y456*(1-$N$5))*(1+BDI!$C$21),2)</f>
        <v>15</v>
      </c>
      <c r="G456" s="41">
        <f t="shared" si="381"/>
        <v>23.810000000000002</v>
      </c>
      <c r="H456" s="13">
        <f t="shared" si="446"/>
        <v>52.86</v>
      </c>
      <c r="I456" s="13">
        <f t="shared" si="447"/>
        <v>90</v>
      </c>
      <c r="J456" s="14">
        <f t="shared" si="448"/>
        <v>142.86000000000001</v>
      </c>
      <c r="M456" s="54"/>
      <c r="N456" s="55"/>
      <c r="V456" s="74">
        <v>6</v>
      </c>
      <c r="W456" s="74" t="s">
        <v>459</v>
      </c>
      <c r="X456" s="13">
        <v>11.01</v>
      </c>
      <c r="Y456" s="13">
        <v>18.739999999999998</v>
      </c>
      <c r="Z456" s="13">
        <f t="shared" si="449"/>
        <v>29.75</v>
      </c>
      <c r="AB456" s="74">
        <v>6</v>
      </c>
      <c r="AC456" s="74" t="s">
        <v>459</v>
      </c>
      <c r="AD456" s="13">
        <v>14.18</v>
      </c>
      <c r="AE456" s="13">
        <v>24.14</v>
      </c>
      <c r="AF456" s="13">
        <f t="shared" si="450"/>
        <v>38.32</v>
      </c>
      <c r="AH456" s="89">
        <f t="shared" si="422"/>
        <v>-0.37870239774330039</v>
      </c>
      <c r="AI456" s="89">
        <f t="shared" si="423"/>
        <v>-0.37862468931234472</v>
      </c>
      <c r="AJ456" s="89">
        <f t="shared" si="424"/>
        <v>-0.37865344467640916</v>
      </c>
    </row>
    <row r="457" spans="1:36" x14ac:dyDescent="0.3">
      <c r="A457" s="21" t="s">
        <v>832</v>
      </c>
      <c r="B457" s="11" t="s">
        <v>833</v>
      </c>
      <c r="C457" s="12">
        <f t="shared" si="444"/>
        <v>3</v>
      </c>
      <c r="D457" s="41" t="str">
        <f t="shared" si="445"/>
        <v xml:space="preserve">UN </v>
      </c>
      <c r="E457" s="41">
        <f>ROUND((X457*(1-$M$5))*(1+BDI!$C$21),2)</f>
        <v>89.29</v>
      </c>
      <c r="F457" s="41">
        <f>ROUND((Y457*(1-$N$5))*(1+BDI!$C$21),2)</f>
        <v>26.67</v>
      </c>
      <c r="G457" s="41">
        <f t="shared" si="381"/>
        <v>115.96000000000001</v>
      </c>
      <c r="H457" s="13">
        <f t="shared" si="446"/>
        <v>267.87</v>
      </c>
      <c r="I457" s="13">
        <f t="shared" si="447"/>
        <v>80.010000000000005</v>
      </c>
      <c r="J457" s="14">
        <f t="shared" si="448"/>
        <v>347.88</v>
      </c>
      <c r="M457" s="54"/>
      <c r="N457" s="55"/>
      <c r="V457" s="74">
        <v>3</v>
      </c>
      <c r="W457" s="74" t="s">
        <v>459</v>
      </c>
      <c r="X457" s="13">
        <v>111.54</v>
      </c>
      <c r="Y457" s="13">
        <v>33.32</v>
      </c>
      <c r="Z457" s="13">
        <f t="shared" si="449"/>
        <v>144.86000000000001</v>
      </c>
      <c r="AB457" s="74">
        <v>3</v>
      </c>
      <c r="AC457" s="74" t="s">
        <v>459</v>
      </c>
      <c r="AD457" s="13">
        <v>143.69</v>
      </c>
      <c r="AE457" s="13">
        <v>42.92</v>
      </c>
      <c r="AF457" s="13">
        <f t="shared" si="450"/>
        <v>186.61</v>
      </c>
      <c r="AH457" s="89">
        <f t="shared" si="422"/>
        <v>-0.37859280395295425</v>
      </c>
      <c r="AI457" s="89">
        <f t="shared" si="423"/>
        <v>-0.37861136999068035</v>
      </c>
      <c r="AJ457" s="89">
        <f t="shared" si="424"/>
        <v>-0.37859707411178389</v>
      </c>
    </row>
    <row r="458" spans="1:36" x14ac:dyDescent="0.3">
      <c r="A458" s="21" t="s">
        <v>834</v>
      </c>
      <c r="B458" s="11" t="s">
        <v>835</v>
      </c>
      <c r="C458" s="12">
        <f t="shared" si="444"/>
        <v>29</v>
      </c>
      <c r="D458" s="41" t="str">
        <f t="shared" si="445"/>
        <v xml:space="preserve">UN </v>
      </c>
      <c r="E458" s="41">
        <f>ROUND((X458*(1-$M$5))*(1+BDI!$C$21),2)</f>
        <v>240.66</v>
      </c>
      <c r="F458" s="41">
        <f>ROUND((Y458*(1-$N$5))*(1+BDI!$C$21),2)</f>
        <v>24.36</v>
      </c>
      <c r="G458" s="41">
        <f t="shared" si="381"/>
        <v>265.02</v>
      </c>
      <c r="H458" s="13">
        <f t="shared" si="446"/>
        <v>6979.14</v>
      </c>
      <c r="I458" s="13">
        <f t="shared" si="447"/>
        <v>706.43999999999994</v>
      </c>
      <c r="J458" s="14">
        <f t="shared" si="448"/>
        <v>7685.58</v>
      </c>
      <c r="M458" s="54"/>
      <c r="N458" s="55"/>
      <c r="V458" s="74">
        <v>29</v>
      </c>
      <c r="W458" s="74" t="s">
        <v>459</v>
      </c>
      <c r="X458" s="13">
        <v>300.64</v>
      </c>
      <c r="Y458" s="13">
        <v>30.43</v>
      </c>
      <c r="Z458" s="13">
        <f t="shared" si="449"/>
        <v>331.07</v>
      </c>
      <c r="AB458" s="74">
        <v>29</v>
      </c>
      <c r="AC458" s="74" t="s">
        <v>459</v>
      </c>
      <c r="AD458" s="13">
        <v>387.28</v>
      </c>
      <c r="AE458" s="13">
        <v>39.200000000000003</v>
      </c>
      <c r="AF458" s="13">
        <f t="shared" si="450"/>
        <v>426.47999999999996</v>
      </c>
      <c r="AH458" s="89">
        <f t="shared" si="422"/>
        <v>-0.37858913447634779</v>
      </c>
      <c r="AI458" s="89">
        <f t="shared" si="423"/>
        <v>-0.37857142857142867</v>
      </c>
      <c r="AJ458" s="89">
        <f t="shared" si="424"/>
        <v>-0.37858750703432753</v>
      </c>
    </row>
    <row r="459" spans="1:36" x14ac:dyDescent="0.3">
      <c r="A459" s="21" t="s">
        <v>836</v>
      </c>
      <c r="B459" s="11" t="s">
        <v>837</v>
      </c>
      <c r="C459" s="12">
        <f t="shared" si="444"/>
        <v>11</v>
      </c>
      <c r="D459" s="41" t="str">
        <f t="shared" si="445"/>
        <v xml:space="preserve">UN </v>
      </c>
      <c r="E459" s="41">
        <f>ROUND((X459*(1-$M$5))*(1+BDI!$C$21),2)</f>
        <v>45.22</v>
      </c>
      <c r="F459" s="41">
        <f>ROUND((Y459*(1-$N$5))*(1+BDI!$C$21),2)</f>
        <v>24.36</v>
      </c>
      <c r="G459" s="41">
        <f t="shared" si="381"/>
        <v>69.58</v>
      </c>
      <c r="H459" s="13">
        <f t="shared" si="446"/>
        <v>497.41999999999996</v>
      </c>
      <c r="I459" s="13">
        <f t="shared" si="447"/>
        <v>267.95999999999998</v>
      </c>
      <c r="J459" s="14">
        <f t="shared" si="448"/>
        <v>765.38</v>
      </c>
      <c r="M459" s="54"/>
      <c r="N459" s="56"/>
      <c r="V459" s="74">
        <v>11</v>
      </c>
      <c r="W459" s="74" t="s">
        <v>459</v>
      </c>
      <c r="X459" s="13">
        <v>56.49</v>
      </c>
      <c r="Y459" s="13">
        <v>30.43</v>
      </c>
      <c r="Z459" s="13">
        <f t="shared" si="449"/>
        <v>86.92</v>
      </c>
      <c r="AB459" s="74">
        <v>11</v>
      </c>
      <c r="AC459" s="74" t="s">
        <v>459</v>
      </c>
      <c r="AD459" s="13">
        <v>72.77</v>
      </c>
      <c r="AE459" s="13">
        <v>39.200000000000003</v>
      </c>
      <c r="AF459" s="13">
        <f t="shared" si="450"/>
        <v>111.97</v>
      </c>
      <c r="AH459" s="89">
        <f t="shared" si="422"/>
        <v>-0.37859007832898173</v>
      </c>
      <c r="AI459" s="89">
        <f t="shared" si="423"/>
        <v>-0.37857142857142867</v>
      </c>
      <c r="AJ459" s="89">
        <f t="shared" si="424"/>
        <v>-0.37858354916495496</v>
      </c>
    </row>
    <row r="460" spans="1:36" x14ac:dyDescent="0.3">
      <c r="A460" s="21" t="s">
        <v>838</v>
      </c>
      <c r="B460" s="11" t="s">
        <v>839</v>
      </c>
      <c r="C460" s="12">
        <f t="shared" si="444"/>
        <v>84</v>
      </c>
      <c r="D460" s="41" t="str">
        <f t="shared" si="445"/>
        <v xml:space="preserve">UN </v>
      </c>
      <c r="E460" s="41">
        <f>ROUND((X460*(1-$M$5))*(1+BDI!$C$21),2)</f>
        <v>125.99</v>
      </c>
      <c r="F460" s="41">
        <f>ROUND((Y460*(1-$N$5))*(1+BDI!$C$21),2)</f>
        <v>24.36</v>
      </c>
      <c r="G460" s="41">
        <f t="shared" si="381"/>
        <v>150.35</v>
      </c>
      <c r="H460" s="13">
        <f t="shared" si="446"/>
        <v>10583.16</v>
      </c>
      <c r="I460" s="13">
        <f t="shared" si="447"/>
        <v>2046.24</v>
      </c>
      <c r="J460" s="14">
        <f t="shared" si="448"/>
        <v>12629.4</v>
      </c>
      <c r="M460" s="54"/>
      <c r="N460" s="56"/>
      <c r="V460" s="74">
        <v>84</v>
      </c>
      <c r="W460" s="74" t="s">
        <v>459</v>
      </c>
      <c r="X460" s="13">
        <v>157.38999999999999</v>
      </c>
      <c r="Y460" s="13">
        <v>30.43</v>
      </c>
      <c r="Z460" s="13">
        <f t="shared" si="449"/>
        <v>187.82</v>
      </c>
      <c r="AB460" s="74">
        <v>84</v>
      </c>
      <c r="AC460" s="74" t="s">
        <v>459</v>
      </c>
      <c r="AD460" s="13">
        <v>202.75</v>
      </c>
      <c r="AE460" s="13">
        <v>39.200000000000003</v>
      </c>
      <c r="AF460" s="13">
        <f t="shared" si="450"/>
        <v>241.95</v>
      </c>
      <c r="AH460" s="89">
        <f t="shared" si="422"/>
        <v>-0.3785943279901357</v>
      </c>
      <c r="AI460" s="89">
        <f t="shared" si="423"/>
        <v>-0.37857142857142867</v>
      </c>
      <c r="AJ460" s="89">
        <f t="shared" si="424"/>
        <v>-0.37859061789625958</v>
      </c>
    </row>
    <row r="461" spans="1:36" x14ac:dyDescent="0.3">
      <c r="A461" s="21" t="s">
        <v>840</v>
      </c>
      <c r="B461" s="11" t="s">
        <v>841</v>
      </c>
      <c r="C461" s="12">
        <f t="shared" si="444"/>
        <v>10</v>
      </c>
      <c r="D461" s="41" t="str">
        <f t="shared" si="445"/>
        <v xml:space="preserve">UN </v>
      </c>
      <c r="E461" s="41">
        <f>ROUND((X461*(1-$M$5))*(1+BDI!$C$21),2)</f>
        <v>58</v>
      </c>
      <c r="F461" s="41">
        <f>ROUND((Y461*(1-$N$5))*(1+BDI!$C$21),2)</f>
        <v>24.36</v>
      </c>
      <c r="G461" s="41">
        <f t="shared" si="381"/>
        <v>82.36</v>
      </c>
      <c r="H461" s="13">
        <f t="shared" si="446"/>
        <v>580</v>
      </c>
      <c r="I461" s="13">
        <f t="shared" si="447"/>
        <v>243.6</v>
      </c>
      <c r="J461" s="14">
        <f t="shared" si="448"/>
        <v>823.6</v>
      </c>
      <c r="M461" s="54"/>
      <c r="N461" s="56"/>
      <c r="V461" s="74">
        <v>10</v>
      </c>
      <c r="W461" s="74" t="s">
        <v>459</v>
      </c>
      <c r="X461" s="13">
        <v>72.45</v>
      </c>
      <c r="Y461" s="13">
        <v>30.43</v>
      </c>
      <c r="Z461" s="13">
        <f t="shared" si="449"/>
        <v>102.88</v>
      </c>
      <c r="AB461" s="74">
        <v>10</v>
      </c>
      <c r="AC461" s="74" t="s">
        <v>459</v>
      </c>
      <c r="AD461" s="13">
        <v>93.33</v>
      </c>
      <c r="AE461" s="13">
        <v>39.200000000000003</v>
      </c>
      <c r="AF461" s="13">
        <f t="shared" si="450"/>
        <v>132.53</v>
      </c>
      <c r="AH461" s="89">
        <f t="shared" si="422"/>
        <v>-0.37854923390121076</v>
      </c>
      <c r="AI461" s="89">
        <f t="shared" si="423"/>
        <v>-0.37857142857142867</v>
      </c>
      <c r="AJ461" s="89">
        <f t="shared" si="424"/>
        <v>-0.37855579868708977</v>
      </c>
    </row>
    <row r="462" spans="1:36" x14ac:dyDescent="0.3">
      <c r="A462" s="21" t="s">
        <v>842</v>
      </c>
      <c r="B462" s="11" t="s">
        <v>843</v>
      </c>
      <c r="C462" s="12">
        <f t="shared" si="444"/>
        <v>56</v>
      </c>
      <c r="D462" s="41" t="str">
        <f t="shared" si="445"/>
        <v xml:space="preserve">UN </v>
      </c>
      <c r="E462" s="41">
        <f>ROUND((X462*(1-$M$5))*(1+BDI!$C$21),2)</f>
        <v>35.47</v>
      </c>
      <c r="F462" s="41">
        <f>ROUND((Y462*(1-$N$5))*(1+BDI!$C$21),2)</f>
        <v>12.39</v>
      </c>
      <c r="G462" s="41">
        <f t="shared" si="381"/>
        <v>47.86</v>
      </c>
      <c r="H462" s="13">
        <f t="shared" si="446"/>
        <v>1986.32</v>
      </c>
      <c r="I462" s="13">
        <f t="shared" si="447"/>
        <v>693.84</v>
      </c>
      <c r="J462" s="14">
        <f t="shared" si="448"/>
        <v>2680.16</v>
      </c>
      <c r="M462" s="54"/>
      <c r="N462" s="56"/>
      <c r="V462" s="74">
        <v>56</v>
      </c>
      <c r="W462" s="74" t="s">
        <v>459</v>
      </c>
      <c r="X462" s="13">
        <v>44.31</v>
      </c>
      <c r="Y462" s="13">
        <v>15.48</v>
      </c>
      <c r="Z462" s="13">
        <f t="shared" si="449"/>
        <v>59.790000000000006</v>
      </c>
      <c r="AB462" s="74">
        <v>56</v>
      </c>
      <c r="AC462" s="74" t="s">
        <v>459</v>
      </c>
      <c r="AD462" s="13">
        <v>57.08</v>
      </c>
      <c r="AE462" s="13">
        <v>19.940000000000001</v>
      </c>
      <c r="AF462" s="13">
        <f t="shared" si="450"/>
        <v>77.02</v>
      </c>
      <c r="AH462" s="89">
        <f t="shared" si="422"/>
        <v>-0.37859145059565524</v>
      </c>
      <c r="AI462" s="89">
        <f t="shared" si="423"/>
        <v>-0.37863590772316957</v>
      </c>
      <c r="AJ462" s="89">
        <f t="shared" si="424"/>
        <v>-0.37860296027005969</v>
      </c>
    </row>
    <row r="463" spans="1:36" x14ac:dyDescent="0.3">
      <c r="A463" s="21" t="s">
        <v>844</v>
      </c>
      <c r="B463" s="11" t="s">
        <v>845</v>
      </c>
      <c r="C463" s="12">
        <f t="shared" si="444"/>
        <v>1</v>
      </c>
      <c r="D463" s="41" t="str">
        <f t="shared" si="445"/>
        <v xml:space="preserve">UN </v>
      </c>
      <c r="E463" s="41">
        <f>ROUND((X463*(1-$M$5))*(1+BDI!$C$21),2)</f>
        <v>566.62</v>
      </c>
      <c r="F463" s="41">
        <f>ROUND((Y463*(1-$N$5))*(1+BDI!$C$21),2)</f>
        <v>32.57</v>
      </c>
      <c r="G463" s="41">
        <f t="shared" si="381"/>
        <v>599.19000000000005</v>
      </c>
      <c r="H463" s="13">
        <f t="shared" si="446"/>
        <v>566.62</v>
      </c>
      <c r="I463" s="13">
        <f t="shared" si="447"/>
        <v>32.57</v>
      </c>
      <c r="J463" s="14">
        <f t="shared" si="448"/>
        <v>599.19000000000005</v>
      </c>
      <c r="M463" s="54"/>
      <c r="N463" s="56"/>
      <c r="V463" s="74">
        <v>1</v>
      </c>
      <c r="W463" s="74" t="s">
        <v>459</v>
      </c>
      <c r="X463" s="13">
        <v>707.84</v>
      </c>
      <c r="Y463" s="13">
        <v>40.69</v>
      </c>
      <c r="Z463" s="13">
        <f t="shared" si="449"/>
        <v>748.53</v>
      </c>
      <c r="AB463" s="74">
        <v>1</v>
      </c>
      <c r="AC463" s="74" t="s">
        <v>459</v>
      </c>
      <c r="AD463" s="13">
        <v>911.84</v>
      </c>
      <c r="AE463" s="13">
        <v>52.42</v>
      </c>
      <c r="AF463" s="13">
        <f t="shared" si="450"/>
        <v>964.26</v>
      </c>
      <c r="AH463" s="89">
        <f t="shared" si="422"/>
        <v>-0.37859712230215825</v>
      </c>
      <c r="AI463" s="89">
        <f t="shared" si="423"/>
        <v>-0.37867226249523089</v>
      </c>
      <c r="AJ463" s="89">
        <f t="shared" si="424"/>
        <v>-0.37860120714330159</v>
      </c>
    </row>
    <row r="464" spans="1:36" x14ac:dyDescent="0.3">
      <c r="A464" s="21" t="s">
        <v>846</v>
      </c>
      <c r="B464" s="11" t="s">
        <v>847</v>
      </c>
      <c r="C464" s="12">
        <f t="shared" si="444"/>
        <v>11</v>
      </c>
      <c r="D464" s="41" t="str">
        <f t="shared" si="445"/>
        <v xml:space="preserve">UN </v>
      </c>
      <c r="E464" s="41">
        <f>ROUND((X464*(1-$M$5))*(1+BDI!$C$21),2)</f>
        <v>34.909999999999997</v>
      </c>
      <c r="F464" s="41">
        <f>ROUND((Y464*(1-$N$5))*(1+BDI!$C$21),2)</f>
        <v>4.0199999999999996</v>
      </c>
      <c r="G464" s="41">
        <f t="shared" si="381"/>
        <v>38.929999999999993</v>
      </c>
      <c r="H464" s="13">
        <f t="shared" si="446"/>
        <v>384.01</v>
      </c>
      <c r="I464" s="13">
        <f t="shared" si="447"/>
        <v>44.22</v>
      </c>
      <c r="J464" s="14">
        <f t="shared" si="448"/>
        <v>428.2299999999999</v>
      </c>
      <c r="M464" s="54"/>
      <c r="N464" s="56"/>
      <c r="V464" s="74">
        <v>11</v>
      </c>
      <c r="W464" s="74" t="s">
        <v>459</v>
      </c>
      <c r="X464" s="13">
        <v>43.61</v>
      </c>
      <c r="Y464" s="13">
        <v>5.0199999999999996</v>
      </c>
      <c r="Z464" s="13">
        <f t="shared" si="449"/>
        <v>48.629999999999995</v>
      </c>
      <c r="AB464" s="74">
        <v>11</v>
      </c>
      <c r="AC464" s="74" t="s">
        <v>459</v>
      </c>
      <c r="AD464" s="13">
        <v>56.18</v>
      </c>
      <c r="AE464" s="13">
        <v>6.47</v>
      </c>
      <c r="AF464" s="13">
        <f t="shared" si="450"/>
        <v>62.65</v>
      </c>
      <c r="AH464" s="89">
        <f t="shared" si="422"/>
        <v>-0.37860448558205773</v>
      </c>
      <c r="AI464" s="89">
        <f t="shared" si="423"/>
        <v>-0.37867078825347766</v>
      </c>
      <c r="AJ464" s="89">
        <f t="shared" si="424"/>
        <v>-0.37861133280127701</v>
      </c>
    </row>
    <row r="465" spans="1:36" x14ac:dyDescent="0.3">
      <c r="A465" s="21" t="s">
        <v>848</v>
      </c>
      <c r="B465" s="11" t="s">
        <v>849</v>
      </c>
      <c r="C465" s="12">
        <f t="shared" si="444"/>
        <v>1</v>
      </c>
      <c r="D465" s="41" t="str">
        <f t="shared" si="445"/>
        <v xml:space="preserve">UN </v>
      </c>
      <c r="E465" s="41">
        <f>ROUND((X465*(1-$M$5))*(1+BDI!$C$21),2)</f>
        <v>188.75</v>
      </c>
      <c r="F465" s="41">
        <f>ROUND((Y465*(1-$N$5))*(1+BDI!$C$21),2)</f>
        <v>14.54</v>
      </c>
      <c r="G465" s="41">
        <f t="shared" si="381"/>
        <v>203.29</v>
      </c>
      <c r="H465" s="13">
        <f t="shared" si="446"/>
        <v>188.75</v>
      </c>
      <c r="I465" s="13">
        <f t="shared" si="447"/>
        <v>14.54</v>
      </c>
      <c r="J465" s="14">
        <f t="shared" si="448"/>
        <v>203.29</v>
      </c>
      <c r="M465" s="54"/>
      <c r="N465" s="56"/>
      <c r="V465" s="74">
        <v>1</v>
      </c>
      <c r="W465" s="74" t="s">
        <v>459</v>
      </c>
      <c r="X465" s="13">
        <v>235.8</v>
      </c>
      <c r="Y465" s="13">
        <v>18.170000000000002</v>
      </c>
      <c r="Z465" s="13">
        <f t="shared" si="449"/>
        <v>253.97000000000003</v>
      </c>
      <c r="AB465" s="74">
        <v>1</v>
      </c>
      <c r="AC465" s="74" t="s">
        <v>459</v>
      </c>
      <c r="AD465" s="13">
        <v>303.76</v>
      </c>
      <c r="AE465" s="13">
        <v>23.41</v>
      </c>
      <c r="AF465" s="13">
        <f t="shared" si="450"/>
        <v>327.17</v>
      </c>
      <c r="AH465" s="89">
        <f t="shared" si="422"/>
        <v>-0.37862127995786143</v>
      </c>
      <c r="AI465" s="89">
        <f t="shared" si="423"/>
        <v>-0.37889790687740288</v>
      </c>
      <c r="AJ465" s="89">
        <f t="shared" si="424"/>
        <v>-0.37864107344805453</v>
      </c>
    </row>
    <row r="466" spans="1:36" x14ac:dyDescent="0.3">
      <c r="A466" s="21" t="s">
        <v>850</v>
      </c>
      <c r="B466" s="11" t="s">
        <v>851</v>
      </c>
      <c r="C466" s="12">
        <f t="shared" si="444"/>
        <v>9</v>
      </c>
      <c r="D466" s="41" t="str">
        <f t="shared" si="445"/>
        <v xml:space="preserve">UN </v>
      </c>
      <c r="E466" s="41">
        <f>ROUND((X466*(1-$M$5))*(1+BDI!$C$21),2)</f>
        <v>323.89999999999998</v>
      </c>
      <c r="F466" s="41">
        <f>ROUND((Y466*(1-$N$5))*(1+BDI!$C$21),2)</f>
        <v>141.28</v>
      </c>
      <c r="G466" s="41">
        <f t="shared" si="381"/>
        <v>465.17999999999995</v>
      </c>
      <c r="H466" s="13">
        <f t="shared" si="446"/>
        <v>2915.1</v>
      </c>
      <c r="I466" s="13">
        <f t="shared" si="447"/>
        <v>1271.52</v>
      </c>
      <c r="J466" s="14">
        <f t="shared" si="448"/>
        <v>4186.62</v>
      </c>
      <c r="M466" s="54"/>
      <c r="N466" s="56"/>
      <c r="V466" s="74">
        <v>9</v>
      </c>
      <c r="W466" s="74" t="s">
        <v>459</v>
      </c>
      <c r="X466" s="13">
        <v>404.63</v>
      </c>
      <c r="Y466" s="13">
        <v>176.49</v>
      </c>
      <c r="Z466" s="13">
        <f t="shared" si="449"/>
        <v>581.12</v>
      </c>
      <c r="AB466" s="74">
        <v>9</v>
      </c>
      <c r="AC466" s="74" t="s">
        <v>459</v>
      </c>
      <c r="AD466" s="13">
        <v>521.24</v>
      </c>
      <c r="AE466" s="13">
        <v>227.35</v>
      </c>
      <c r="AF466" s="13">
        <f t="shared" si="450"/>
        <v>748.59</v>
      </c>
      <c r="AH466" s="89">
        <f t="shared" si="422"/>
        <v>-0.37859719131302283</v>
      </c>
      <c r="AI466" s="89">
        <f t="shared" si="423"/>
        <v>-0.37857928304376509</v>
      </c>
      <c r="AJ466" s="89">
        <f t="shared" si="424"/>
        <v>-0.37859175249469013</v>
      </c>
    </row>
    <row r="467" spans="1:36" x14ac:dyDescent="0.3">
      <c r="A467" s="21" t="s">
        <v>852</v>
      </c>
      <c r="B467" s="11" t="s">
        <v>853</v>
      </c>
      <c r="C467" s="12">
        <f t="shared" si="444"/>
        <v>11</v>
      </c>
      <c r="D467" s="41" t="str">
        <f t="shared" si="445"/>
        <v xml:space="preserve">UN </v>
      </c>
      <c r="E467" s="41">
        <f>ROUND((X467*(1-$M$5))*(1+BDI!$C$21),2)</f>
        <v>51.88</v>
      </c>
      <c r="F467" s="41">
        <f>ROUND((Y467*(1-$N$5))*(1+BDI!$C$21),2)</f>
        <v>22.57</v>
      </c>
      <c r="G467" s="41">
        <f t="shared" si="381"/>
        <v>74.45</v>
      </c>
      <c r="H467" s="13">
        <f t="shared" si="446"/>
        <v>570.68000000000006</v>
      </c>
      <c r="I467" s="13">
        <f t="shared" si="447"/>
        <v>248.27</v>
      </c>
      <c r="J467" s="14">
        <f t="shared" si="448"/>
        <v>818.95</v>
      </c>
      <c r="M467" s="54"/>
      <c r="N467" s="56"/>
      <c r="V467" s="74">
        <v>11</v>
      </c>
      <c r="W467" s="74" t="s">
        <v>459</v>
      </c>
      <c r="X467" s="13">
        <v>64.81</v>
      </c>
      <c r="Y467" s="13">
        <v>28.19</v>
      </c>
      <c r="Z467" s="13">
        <f t="shared" si="449"/>
        <v>93</v>
      </c>
      <c r="AB467" s="74">
        <v>11</v>
      </c>
      <c r="AC467" s="74" t="s">
        <v>459</v>
      </c>
      <c r="AD467" s="13">
        <v>83.49</v>
      </c>
      <c r="AE467" s="13">
        <v>36.31</v>
      </c>
      <c r="AF467" s="13">
        <f t="shared" si="450"/>
        <v>119.8</v>
      </c>
      <c r="AH467" s="89">
        <f t="shared" si="422"/>
        <v>-0.37860821655288046</v>
      </c>
      <c r="AI467" s="89">
        <f t="shared" si="423"/>
        <v>-0.37840815202423583</v>
      </c>
      <c r="AJ467" s="89">
        <f t="shared" si="424"/>
        <v>-0.37854757929883132</v>
      </c>
    </row>
    <row r="468" spans="1:36" x14ac:dyDescent="0.3">
      <c r="A468" s="21" t="s">
        <v>854</v>
      </c>
      <c r="B468" s="11" t="s">
        <v>855</v>
      </c>
      <c r="C468" s="12">
        <f t="shared" si="444"/>
        <v>26</v>
      </c>
      <c r="D468" s="41" t="str">
        <f t="shared" si="445"/>
        <v xml:space="preserve">UN </v>
      </c>
      <c r="E468" s="41">
        <f>ROUND((X468*(1-$M$5))*(1+BDI!$C$21),2)</f>
        <v>51.88</v>
      </c>
      <c r="F468" s="41">
        <f>ROUND((Y468*(1-$N$5))*(1+BDI!$C$21),2)</f>
        <v>22.57</v>
      </c>
      <c r="G468" s="41">
        <f t="shared" si="381"/>
        <v>74.45</v>
      </c>
      <c r="H468" s="13">
        <f t="shared" si="446"/>
        <v>1348.88</v>
      </c>
      <c r="I468" s="13">
        <f t="shared" si="447"/>
        <v>586.82000000000005</v>
      </c>
      <c r="J468" s="14">
        <f t="shared" si="448"/>
        <v>1935.7</v>
      </c>
      <c r="M468" s="54"/>
      <c r="N468" s="56"/>
      <c r="V468" s="74">
        <v>26</v>
      </c>
      <c r="W468" s="74" t="s">
        <v>459</v>
      </c>
      <c r="X468" s="13">
        <v>64.81</v>
      </c>
      <c r="Y468" s="13">
        <v>28.19</v>
      </c>
      <c r="Z468" s="13">
        <f t="shared" si="449"/>
        <v>93</v>
      </c>
      <c r="AB468" s="74">
        <v>26</v>
      </c>
      <c r="AC468" s="74" t="s">
        <v>459</v>
      </c>
      <c r="AD468" s="13">
        <v>83.49</v>
      </c>
      <c r="AE468" s="13">
        <v>36.31</v>
      </c>
      <c r="AF468" s="13">
        <f t="shared" si="450"/>
        <v>119.8</v>
      </c>
      <c r="AH468" s="89">
        <f t="shared" si="422"/>
        <v>-0.37860821655288046</v>
      </c>
      <c r="AI468" s="89">
        <f t="shared" si="423"/>
        <v>-0.37840815202423583</v>
      </c>
      <c r="AJ468" s="89">
        <f t="shared" si="424"/>
        <v>-0.37854757929883132</v>
      </c>
    </row>
    <row r="469" spans="1:36" x14ac:dyDescent="0.3">
      <c r="A469" s="21" t="s">
        <v>856</v>
      </c>
      <c r="B469" s="11" t="s">
        <v>857</v>
      </c>
      <c r="C469" s="12">
        <f t="shared" si="444"/>
        <v>80</v>
      </c>
      <c r="D469" s="41" t="str">
        <f t="shared" si="445"/>
        <v xml:space="preserve">UN </v>
      </c>
      <c r="E469" s="41">
        <f>ROUND((X469*(1-$M$5))*(1+BDI!$C$21),2)</f>
        <v>11.91</v>
      </c>
      <c r="F469" s="41">
        <f>ROUND((Y469*(1-$N$5))*(1+BDI!$C$21),2)</f>
        <v>12.18</v>
      </c>
      <c r="G469" s="41">
        <f t="shared" si="381"/>
        <v>24.09</v>
      </c>
      <c r="H469" s="13">
        <f t="shared" si="446"/>
        <v>952.8</v>
      </c>
      <c r="I469" s="13">
        <f t="shared" si="447"/>
        <v>974.4</v>
      </c>
      <c r="J469" s="14">
        <f t="shared" si="448"/>
        <v>1927.2</v>
      </c>
      <c r="M469" s="54"/>
      <c r="N469" s="56"/>
      <c r="V469" s="74">
        <v>80</v>
      </c>
      <c r="W469" s="74" t="s">
        <v>459</v>
      </c>
      <c r="X469" s="13">
        <v>14.88</v>
      </c>
      <c r="Y469" s="13">
        <v>15.22</v>
      </c>
      <c r="Z469" s="13">
        <f t="shared" si="449"/>
        <v>30.1</v>
      </c>
      <c r="AB469" s="74">
        <v>80</v>
      </c>
      <c r="AC469" s="74" t="s">
        <v>459</v>
      </c>
      <c r="AD469" s="13">
        <v>19.170000000000002</v>
      </c>
      <c r="AE469" s="13">
        <v>19.61</v>
      </c>
      <c r="AF469" s="13">
        <f t="shared" si="450"/>
        <v>38.78</v>
      </c>
      <c r="AH469" s="89">
        <f t="shared" si="422"/>
        <v>-0.37871674491392804</v>
      </c>
      <c r="AI469" s="89">
        <f t="shared" si="423"/>
        <v>-0.37888832228454872</v>
      </c>
      <c r="AJ469" s="89">
        <f t="shared" si="424"/>
        <v>-0.37880350696235177</v>
      </c>
    </row>
    <row r="470" spans="1:36" x14ac:dyDescent="0.3">
      <c r="A470" s="21" t="s">
        <v>858</v>
      </c>
      <c r="B470" s="11" t="s">
        <v>859</v>
      </c>
      <c r="C470" s="12">
        <f t="shared" si="444"/>
        <v>19</v>
      </c>
      <c r="D470" s="41" t="str">
        <f t="shared" si="445"/>
        <v xml:space="preserve">UN </v>
      </c>
      <c r="E470" s="41">
        <f>ROUND((X470*(1-$M$5))*(1+BDI!$C$21),2)</f>
        <v>138.58000000000001</v>
      </c>
      <c r="F470" s="41">
        <f>ROUND((Y470*(1-$N$5))*(1+BDI!$C$21),2)</f>
        <v>9.14</v>
      </c>
      <c r="G470" s="41">
        <f t="shared" si="381"/>
        <v>147.72000000000003</v>
      </c>
      <c r="H470" s="13">
        <f t="shared" si="446"/>
        <v>2633.0200000000004</v>
      </c>
      <c r="I470" s="13">
        <f t="shared" si="447"/>
        <v>173.66000000000003</v>
      </c>
      <c r="J470" s="14">
        <f t="shared" si="448"/>
        <v>2806.6800000000003</v>
      </c>
      <c r="M470" s="54"/>
      <c r="N470" s="56"/>
      <c r="V470" s="74">
        <v>19</v>
      </c>
      <c r="W470" s="74" t="s">
        <v>459</v>
      </c>
      <c r="X470" s="13">
        <v>173.12</v>
      </c>
      <c r="Y470" s="13">
        <v>11.42</v>
      </c>
      <c r="Z470" s="13">
        <f t="shared" si="449"/>
        <v>184.54</v>
      </c>
      <c r="AB470" s="74">
        <v>19</v>
      </c>
      <c r="AC470" s="74" t="s">
        <v>459</v>
      </c>
      <c r="AD470" s="13">
        <v>223.01</v>
      </c>
      <c r="AE470" s="13">
        <v>14.71</v>
      </c>
      <c r="AF470" s="13">
        <f t="shared" si="450"/>
        <v>237.72</v>
      </c>
      <c r="AH470" s="89">
        <f t="shared" si="422"/>
        <v>-0.37859288821129089</v>
      </c>
      <c r="AI470" s="89">
        <f t="shared" si="423"/>
        <v>-0.37865397688647173</v>
      </c>
      <c r="AJ470" s="89">
        <f t="shared" si="424"/>
        <v>-0.37859666834931838</v>
      </c>
    </row>
    <row r="471" spans="1:36" x14ac:dyDescent="0.3">
      <c r="A471" s="21" t="s">
        <v>860</v>
      </c>
      <c r="B471" s="11" t="s">
        <v>861</v>
      </c>
      <c r="C471" s="12">
        <f t="shared" si="444"/>
        <v>44</v>
      </c>
      <c r="D471" s="41" t="str">
        <f t="shared" si="445"/>
        <v xml:space="preserve">UN </v>
      </c>
      <c r="E471" s="41">
        <f>ROUND((X471*(1-$M$5))*(1+BDI!$C$21),2)</f>
        <v>254.92</v>
      </c>
      <c r="F471" s="41">
        <f>ROUND((Y471*(1-$N$5))*(1+BDI!$C$21),2)</f>
        <v>38.44</v>
      </c>
      <c r="G471" s="41">
        <f t="shared" ref="G471:G530" si="451">F471+E471</f>
        <v>293.36</v>
      </c>
      <c r="H471" s="13">
        <f t="shared" si="446"/>
        <v>11216.48</v>
      </c>
      <c r="I471" s="13">
        <f t="shared" si="447"/>
        <v>1691.36</v>
      </c>
      <c r="J471" s="14">
        <f t="shared" si="448"/>
        <v>12907.84</v>
      </c>
      <c r="M471" s="54"/>
      <c r="N471" s="56"/>
      <c r="V471" s="74">
        <v>44</v>
      </c>
      <c r="W471" s="74" t="s">
        <v>459</v>
      </c>
      <c r="X471" s="13">
        <v>318.45999999999998</v>
      </c>
      <c r="Y471" s="13">
        <v>48.02</v>
      </c>
      <c r="Z471" s="13">
        <f t="shared" si="449"/>
        <v>366.47999999999996</v>
      </c>
      <c r="AB471" s="74">
        <v>44</v>
      </c>
      <c r="AC471" s="74" t="s">
        <v>459</v>
      </c>
      <c r="AD471" s="13">
        <v>410.24</v>
      </c>
      <c r="AE471" s="13">
        <v>61.86</v>
      </c>
      <c r="AF471" s="13">
        <f t="shared" si="450"/>
        <v>472.1</v>
      </c>
      <c r="AH471" s="89">
        <f t="shared" si="422"/>
        <v>-0.37860764430577232</v>
      </c>
      <c r="AI471" s="89">
        <f t="shared" si="423"/>
        <v>-0.37859683155512447</v>
      </c>
      <c r="AJ471" s="89">
        <f t="shared" si="424"/>
        <v>-0.37860622749417494</v>
      </c>
    </row>
    <row r="472" spans="1:36" x14ac:dyDescent="0.3">
      <c r="A472" s="21" t="s">
        <v>862</v>
      </c>
      <c r="B472" s="11" t="s">
        <v>863</v>
      </c>
      <c r="C472" s="12">
        <f t="shared" si="444"/>
        <v>3</v>
      </c>
      <c r="D472" s="41" t="str">
        <f t="shared" si="445"/>
        <v xml:space="preserve">UN </v>
      </c>
      <c r="E472" s="41">
        <f>ROUND((X472*(1-$M$5))*(1+BDI!$C$21),2)</f>
        <v>1790.85</v>
      </c>
      <c r="F472" s="41">
        <f>ROUND((Y472*(1-$N$5))*(1+BDI!$C$21),2)</f>
        <v>30.43</v>
      </c>
      <c r="G472" s="41">
        <f t="shared" si="451"/>
        <v>1821.28</v>
      </c>
      <c r="H472" s="13">
        <f t="shared" si="446"/>
        <v>5372.5499999999993</v>
      </c>
      <c r="I472" s="13">
        <f t="shared" si="447"/>
        <v>91.289999999999992</v>
      </c>
      <c r="J472" s="14">
        <f t="shared" si="448"/>
        <v>5463.84</v>
      </c>
      <c r="M472" s="54"/>
      <c r="N472" s="56"/>
      <c r="V472" s="74">
        <v>3</v>
      </c>
      <c r="W472" s="74" t="s">
        <v>459</v>
      </c>
      <c r="X472" s="13">
        <v>2237.1999999999998</v>
      </c>
      <c r="Y472" s="13">
        <v>38.01</v>
      </c>
      <c r="Z472" s="13">
        <f t="shared" si="449"/>
        <v>2275.21</v>
      </c>
      <c r="AB472" s="74">
        <v>3</v>
      </c>
      <c r="AC472" s="74" t="s">
        <v>459</v>
      </c>
      <c r="AD472" s="13">
        <v>2881.96</v>
      </c>
      <c r="AE472" s="13">
        <v>48.96</v>
      </c>
      <c r="AF472" s="13">
        <f t="shared" si="450"/>
        <v>2930.92</v>
      </c>
      <c r="AH472" s="89">
        <f t="shared" si="422"/>
        <v>-0.37859998056877964</v>
      </c>
      <c r="AI472" s="89">
        <f t="shared" si="423"/>
        <v>-0.37847222222222221</v>
      </c>
      <c r="AJ472" s="89">
        <f t="shared" si="424"/>
        <v>-0.37859784641000094</v>
      </c>
    </row>
    <row r="473" spans="1:36" x14ac:dyDescent="0.3">
      <c r="A473" s="21" t="s">
        <v>864</v>
      </c>
      <c r="B473" s="11" t="s">
        <v>865</v>
      </c>
      <c r="C473" s="12">
        <f t="shared" si="444"/>
        <v>9</v>
      </c>
      <c r="D473" s="41" t="str">
        <f t="shared" si="445"/>
        <v xml:space="preserve">UN </v>
      </c>
      <c r="E473" s="41">
        <f>ROUND((X473*(1-$M$5))*(1+BDI!$C$21),2)</f>
        <v>1240.45</v>
      </c>
      <c r="F473" s="41">
        <f>ROUND((Y473*(1-$N$5))*(1+BDI!$C$21),2)</f>
        <v>9.74</v>
      </c>
      <c r="G473" s="41">
        <f t="shared" si="451"/>
        <v>1250.19</v>
      </c>
      <c r="H473" s="13">
        <f t="shared" si="446"/>
        <v>11164.050000000001</v>
      </c>
      <c r="I473" s="13">
        <f t="shared" si="447"/>
        <v>87.66</v>
      </c>
      <c r="J473" s="14">
        <f t="shared" si="448"/>
        <v>11251.710000000001</v>
      </c>
      <c r="M473" s="54"/>
      <c r="N473" s="56"/>
      <c r="V473" s="74">
        <v>9</v>
      </c>
      <c r="W473" s="74" t="s">
        <v>459</v>
      </c>
      <c r="X473" s="13">
        <v>1549.62</v>
      </c>
      <c r="Y473" s="13">
        <v>12.17</v>
      </c>
      <c r="Z473" s="13">
        <f t="shared" si="449"/>
        <v>1561.79</v>
      </c>
      <c r="AB473" s="74">
        <v>9</v>
      </c>
      <c r="AC473" s="74" t="s">
        <v>459</v>
      </c>
      <c r="AD473" s="13">
        <v>1996.22</v>
      </c>
      <c r="AE473" s="13">
        <v>15.68</v>
      </c>
      <c r="AF473" s="13">
        <f t="shared" si="450"/>
        <v>2011.9</v>
      </c>
      <c r="AH473" s="89">
        <f t="shared" si="422"/>
        <v>-0.37860055504904266</v>
      </c>
      <c r="AI473" s="89">
        <f t="shared" si="423"/>
        <v>-0.37882653061224492</v>
      </c>
      <c r="AJ473" s="89">
        <f t="shared" si="424"/>
        <v>-0.37860231621849993</v>
      </c>
    </row>
    <row r="474" spans="1:36" x14ac:dyDescent="0.3">
      <c r="A474" s="21" t="s">
        <v>866</v>
      </c>
      <c r="B474" s="18" t="s">
        <v>867</v>
      </c>
      <c r="C474" s="12">
        <f t="shared" si="444"/>
        <v>123</v>
      </c>
      <c r="D474" s="41" t="str">
        <f t="shared" si="445"/>
        <v xml:space="preserve">UN </v>
      </c>
      <c r="E474" s="41">
        <f>ROUND((X474*(1-$M$5))*(1+BDI!$C$21),2)</f>
        <v>33.46</v>
      </c>
      <c r="F474" s="41">
        <f>ROUND((Y474*(1-$N$5))*(1+BDI!$C$21),2)</f>
        <v>9.74</v>
      </c>
      <c r="G474" s="41">
        <f t="shared" si="451"/>
        <v>43.2</v>
      </c>
      <c r="H474" s="13">
        <f t="shared" si="446"/>
        <v>4115.58</v>
      </c>
      <c r="I474" s="13">
        <f t="shared" si="447"/>
        <v>1198.02</v>
      </c>
      <c r="J474" s="14">
        <f t="shared" si="448"/>
        <v>5313.6</v>
      </c>
      <c r="M474" s="54"/>
      <c r="N474" s="56"/>
      <c r="V474" s="74">
        <v>123</v>
      </c>
      <c r="W474" s="74" t="s">
        <v>459</v>
      </c>
      <c r="X474" s="13">
        <v>41.8</v>
      </c>
      <c r="Y474" s="13">
        <v>12.17</v>
      </c>
      <c r="Z474" s="13">
        <f t="shared" si="449"/>
        <v>53.97</v>
      </c>
      <c r="AB474" s="74">
        <v>123</v>
      </c>
      <c r="AC474" s="74" t="s">
        <v>459</v>
      </c>
      <c r="AD474" s="13">
        <v>53.85</v>
      </c>
      <c r="AE474" s="13">
        <v>15.68</v>
      </c>
      <c r="AF474" s="13">
        <f t="shared" si="450"/>
        <v>69.53</v>
      </c>
      <c r="AH474" s="89">
        <f t="shared" si="422"/>
        <v>-0.37864438254410404</v>
      </c>
      <c r="AI474" s="89">
        <f t="shared" si="423"/>
        <v>-0.37882653061224492</v>
      </c>
      <c r="AJ474" s="89">
        <f t="shared" si="424"/>
        <v>-0.37868545951387889</v>
      </c>
    </row>
    <row r="475" spans="1:36" x14ac:dyDescent="0.3">
      <c r="A475" s="21" t="s">
        <v>868</v>
      </c>
      <c r="B475" s="11" t="s">
        <v>869</v>
      </c>
      <c r="C475" s="12">
        <f t="shared" si="444"/>
        <v>63</v>
      </c>
      <c r="D475" s="41" t="str">
        <f t="shared" si="445"/>
        <v xml:space="preserve">UN </v>
      </c>
      <c r="E475" s="41">
        <f>ROUND((X475*(1-$M$5))*(1+BDI!$C$21),2)</f>
        <v>42.76</v>
      </c>
      <c r="F475" s="41">
        <f>ROUND((Y475*(1-$N$5))*(1+BDI!$C$21),2)</f>
        <v>5.08</v>
      </c>
      <c r="G475" s="41">
        <f t="shared" si="451"/>
        <v>47.839999999999996</v>
      </c>
      <c r="H475" s="13">
        <f t="shared" si="446"/>
        <v>2693.8799999999997</v>
      </c>
      <c r="I475" s="13">
        <f t="shared" si="447"/>
        <v>320.04000000000002</v>
      </c>
      <c r="J475" s="14">
        <f t="shared" si="448"/>
        <v>3013.9199999999996</v>
      </c>
      <c r="M475" s="54"/>
      <c r="N475" s="56"/>
      <c r="V475" s="74">
        <v>63</v>
      </c>
      <c r="W475" s="74" t="s">
        <v>459</v>
      </c>
      <c r="X475" s="13">
        <v>53.42</v>
      </c>
      <c r="Y475" s="13">
        <v>6.35</v>
      </c>
      <c r="Z475" s="13">
        <f t="shared" si="449"/>
        <v>59.77</v>
      </c>
      <c r="AB475" s="74">
        <v>63</v>
      </c>
      <c r="AC475" s="74" t="s">
        <v>459</v>
      </c>
      <c r="AD475" s="13">
        <v>68.819999999999993</v>
      </c>
      <c r="AE475" s="13">
        <v>8.18</v>
      </c>
      <c r="AF475" s="13">
        <f t="shared" si="450"/>
        <v>77</v>
      </c>
      <c r="AH475" s="89">
        <f t="shared" si="422"/>
        <v>-0.37866899157221734</v>
      </c>
      <c r="AI475" s="89">
        <f t="shared" si="423"/>
        <v>-0.37897310513447424</v>
      </c>
      <c r="AJ475" s="89">
        <f t="shared" si="424"/>
        <v>-0.37870129870129876</v>
      </c>
    </row>
    <row r="476" spans="1:36" x14ac:dyDescent="0.3">
      <c r="A476" s="21" t="s">
        <v>870</v>
      </c>
      <c r="B476" s="11" t="s">
        <v>871</v>
      </c>
      <c r="C476" s="12">
        <f t="shared" si="444"/>
        <v>29</v>
      </c>
      <c r="D476" s="41" t="str">
        <f t="shared" si="445"/>
        <v xml:space="preserve">UN </v>
      </c>
      <c r="E476" s="41">
        <f>ROUND((X476*(1-$M$5))*(1+BDI!$C$21),2)</f>
        <v>106.83</v>
      </c>
      <c r="F476" s="41">
        <f>ROUND((Y476*(1-$N$5))*(1+BDI!$C$21),2)</f>
        <v>4.07</v>
      </c>
      <c r="G476" s="41">
        <f t="shared" si="451"/>
        <v>110.9</v>
      </c>
      <c r="H476" s="13">
        <f t="shared" si="446"/>
        <v>3098.07</v>
      </c>
      <c r="I476" s="13">
        <f t="shared" si="447"/>
        <v>118.03</v>
      </c>
      <c r="J476" s="14">
        <f t="shared" si="448"/>
        <v>3216.1000000000004</v>
      </c>
      <c r="M476" s="54"/>
      <c r="N476" s="56"/>
      <c r="V476" s="74">
        <v>29</v>
      </c>
      <c r="W476" s="74" t="s">
        <v>459</v>
      </c>
      <c r="X476" s="13">
        <v>133.46</v>
      </c>
      <c r="Y476" s="13">
        <v>5.08</v>
      </c>
      <c r="Z476" s="13">
        <f t="shared" si="449"/>
        <v>138.54000000000002</v>
      </c>
      <c r="AB476" s="74">
        <v>29</v>
      </c>
      <c r="AC476" s="74" t="s">
        <v>459</v>
      </c>
      <c r="AD476" s="13">
        <v>171.92</v>
      </c>
      <c r="AE476" s="13">
        <v>6.54</v>
      </c>
      <c r="AF476" s="13">
        <f t="shared" si="450"/>
        <v>178.45999999999998</v>
      </c>
      <c r="AH476" s="89">
        <f t="shared" si="422"/>
        <v>-0.37860632852489529</v>
      </c>
      <c r="AI476" s="89">
        <f t="shared" si="423"/>
        <v>-0.37767584097859319</v>
      </c>
      <c r="AJ476" s="89">
        <f t="shared" si="424"/>
        <v>-0.37857222907094012</v>
      </c>
    </row>
    <row r="477" spans="1:36" x14ac:dyDescent="0.3">
      <c r="A477" s="21" t="s">
        <v>872</v>
      </c>
      <c r="B477" s="11" t="s">
        <v>873</v>
      </c>
      <c r="C477" s="12">
        <f t="shared" si="444"/>
        <v>107</v>
      </c>
      <c r="D477" s="41" t="str">
        <f t="shared" si="445"/>
        <v xml:space="preserve">UN </v>
      </c>
      <c r="E477" s="41">
        <f>ROUND((X477*(1-$M$5))*(1+BDI!$C$21),2)</f>
        <v>138.59</v>
      </c>
      <c r="F477" s="41">
        <f>ROUND((Y477*(1-$N$5))*(1+BDI!$C$21),2)</f>
        <v>3.02</v>
      </c>
      <c r="G477" s="41">
        <f t="shared" si="451"/>
        <v>141.61000000000001</v>
      </c>
      <c r="H477" s="13">
        <f t="shared" si="446"/>
        <v>14829.130000000001</v>
      </c>
      <c r="I477" s="13">
        <f t="shared" si="447"/>
        <v>323.14</v>
      </c>
      <c r="J477" s="14">
        <f t="shared" si="448"/>
        <v>15152.270000000002</v>
      </c>
      <c r="M477" s="54"/>
      <c r="N477" s="56"/>
      <c r="V477" s="74">
        <v>107</v>
      </c>
      <c r="W477" s="74" t="s">
        <v>459</v>
      </c>
      <c r="X477" s="13">
        <v>173.13</v>
      </c>
      <c r="Y477" s="13">
        <v>3.77</v>
      </c>
      <c r="Z477" s="13">
        <f t="shared" si="449"/>
        <v>176.9</v>
      </c>
      <c r="AB477" s="74">
        <v>107</v>
      </c>
      <c r="AC477" s="74" t="s">
        <v>459</v>
      </c>
      <c r="AD477" s="13">
        <v>223.03</v>
      </c>
      <c r="AE477" s="13">
        <v>4.8600000000000003</v>
      </c>
      <c r="AF477" s="13">
        <f t="shared" si="450"/>
        <v>227.89000000000001</v>
      </c>
      <c r="AH477" s="89">
        <f t="shared" si="422"/>
        <v>-0.37860377527686861</v>
      </c>
      <c r="AI477" s="89">
        <f t="shared" si="423"/>
        <v>-0.37860082304526754</v>
      </c>
      <c r="AJ477" s="89">
        <f t="shared" si="424"/>
        <v>-0.37860371231734602</v>
      </c>
    </row>
    <row r="478" spans="1:36" x14ac:dyDescent="0.3">
      <c r="A478" s="21" t="s">
        <v>874</v>
      </c>
      <c r="B478" s="11" t="s">
        <v>875</v>
      </c>
      <c r="C478" s="12">
        <f t="shared" si="444"/>
        <v>1</v>
      </c>
      <c r="D478" s="41" t="str">
        <f t="shared" si="445"/>
        <v>m²</v>
      </c>
      <c r="E478" s="41">
        <f>ROUND((X478*(1-$M$5))*(1+BDI!$C$21),2)</f>
        <v>617.74</v>
      </c>
      <c r="F478" s="41">
        <f>ROUND((Y478*(1-$N$5))*(1+BDI!$C$21),2)</f>
        <v>57.48</v>
      </c>
      <c r="G478" s="41">
        <f t="shared" si="451"/>
        <v>675.22</v>
      </c>
      <c r="H478" s="13">
        <f t="shared" si="446"/>
        <v>617.74</v>
      </c>
      <c r="I478" s="13">
        <f t="shared" si="447"/>
        <v>57.48</v>
      </c>
      <c r="J478" s="14">
        <f t="shared" si="448"/>
        <v>675.22</v>
      </c>
      <c r="M478" s="54"/>
      <c r="N478" s="56"/>
      <c r="V478" s="74">
        <v>1</v>
      </c>
      <c r="W478" s="74" t="s">
        <v>59</v>
      </c>
      <c r="X478" s="13">
        <v>771.7</v>
      </c>
      <c r="Y478" s="13">
        <v>71.8</v>
      </c>
      <c r="Z478" s="13">
        <f t="shared" si="449"/>
        <v>843.5</v>
      </c>
      <c r="AB478" s="74">
        <v>1</v>
      </c>
      <c r="AC478" s="74" t="s">
        <v>59</v>
      </c>
      <c r="AD478" s="13">
        <v>994.1</v>
      </c>
      <c r="AE478" s="13">
        <v>92.49</v>
      </c>
      <c r="AF478" s="13">
        <f t="shared" si="450"/>
        <v>1086.5899999999999</v>
      </c>
      <c r="AH478" s="89">
        <f t="shared" si="422"/>
        <v>-0.37859370284679605</v>
      </c>
      <c r="AI478" s="89">
        <f t="shared" si="423"/>
        <v>-0.37852740836847232</v>
      </c>
      <c r="AJ478" s="89">
        <f t="shared" si="424"/>
        <v>-0.37858805989379607</v>
      </c>
    </row>
    <row r="479" spans="1:36" x14ac:dyDescent="0.3">
      <c r="A479" s="21" t="s">
        <v>876</v>
      </c>
      <c r="B479" s="11" t="s">
        <v>877</v>
      </c>
      <c r="C479" s="12">
        <f t="shared" si="444"/>
        <v>23</v>
      </c>
      <c r="D479" s="41" t="str">
        <f t="shared" si="445"/>
        <v>un</v>
      </c>
      <c r="E479" s="41">
        <f>ROUND((X479*(1-$M$5))*(1+BDI!$C$21),2)</f>
        <v>30.51</v>
      </c>
      <c r="F479" s="41">
        <f>ROUND((Y479*(1-$N$5))*(1+BDI!$C$21),2)</f>
        <v>48.72</v>
      </c>
      <c r="G479" s="41">
        <f t="shared" ref="G479:G481" si="452">F479+E479</f>
        <v>79.23</v>
      </c>
      <c r="H479" s="13">
        <f t="shared" ref="H479:H481" si="453">C479*E479</f>
        <v>701.73</v>
      </c>
      <c r="I479" s="13">
        <f t="shared" ref="I479:I481" si="454">C479*F479</f>
        <v>1120.56</v>
      </c>
      <c r="J479" s="14">
        <f t="shared" ref="J479:J481" si="455">SUM(E479:F479)*C479</f>
        <v>1822.2900000000002</v>
      </c>
      <c r="M479" s="54"/>
      <c r="N479" s="56"/>
      <c r="V479" s="74">
        <v>23</v>
      </c>
      <c r="W479" s="74" t="s">
        <v>109</v>
      </c>
      <c r="X479" s="13">
        <v>38.119999999999997</v>
      </c>
      <c r="Y479" s="13">
        <v>60.86</v>
      </c>
      <c r="Z479" s="13">
        <f t="shared" ref="Z479:Z481" si="456">SUM(X479:Y479)</f>
        <v>98.97999999999999</v>
      </c>
      <c r="AB479" s="74">
        <v>23</v>
      </c>
      <c r="AC479" s="74" t="s">
        <v>109</v>
      </c>
      <c r="AD479" s="13">
        <v>49.11</v>
      </c>
      <c r="AE479" s="13">
        <v>78.400000000000006</v>
      </c>
      <c r="AF479" s="13">
        <f t="shared" si="450"/>
        <v>127.51</v>
      </c>
      <c r="AH479" s="89">
        <f t="shared" si="422"/>
        <v>-0.37874160048869876</v>
      </c>
      <c r="AI479" s="89">
        <f t="shared" si="423"/>
        <v>-0.37857142857142867</v>
      </c>
      <c r="AJ479" s="89">
        <f t="shared" si="424"/>
        <v>-0.37863696964943927</v>
      </c>
    </row>
    <row r="480" spans="1:36" x14ac:dyDescent="0.3">
      <c r="A480" s="21" t="s">
        <v>878</v>
      </c>
      <c r="B480" s="11" t="s">
        <v>879</v>
      </c>
      <c r="C480" s="12">
        <f t="shared" ref="C480:C481" si="457">V480</f>
        <v>122</v>
      </c>
      <c r="D480" s="41" t="str">
        <f t="shared" ref="D480:D481" si="458">W480</f>
        <v>un</v>
      </c>
      <c r="E480" s="41">
        <f>ROUND((X480*(1-$M$5))*(1+BDI!$C$21),2)</f>
        <v>48.34</v>
      </c>
      <c r="F480" s="41">
        <f>ROUND((Y480*(1-$N$5))*(1+BDI!$C$21),2)</f>
        <v>24.36</v>
      </c>
      <c r="G480" s="41">
        <f t="shared" si="452"/>
        <v>72.7</v>
      </c>
      <c r="H480" s="13">
        <f t="shared" si="453"/>
        <v>5897.4800000000005</v>
      </c>
      <c r="I480" s="13">
        <f t="shared" si="454"/>
        <v>2971.92</v>
      </c>
      <c r="J480" s="14">
        <f t="shared" si="455"/>
        <v>8869.4</v>
      </c>
      <c r="M480" s="54"/>
      <c r="N480" s="56"/>
      <c r="V480" s="74">
        <v>122</v>
      </c>
      <c r="W480" s="74" t="s">
        <v>109</v>
      </c>
      <c r="X480" s="13">
        <v>60.39</v>
      </c>
      <c r="Y480" s="13">
        <v>30.43</v>
      </c>
      <c r="Z480" s="13">
        <f t="shared" si="456"/>
        <v>90.82</v>
      </c>
      <c r="AB480" s="74">
        <v>122</v>
      </c>
      <c r="AC480" s="74" t="s">
        <v>109</v>
      </c>
      <c r="AD480" s="13">
        <v>77.790000000000006</v>
      </c>
      <c r="AE480" s="13">
        <v>39.200000000000003</v>
      </c>
      <c r="AF480" s="13">
        <f t="shared" si="450"/>
        <v>116.99000000000001</v>
      </c>
      <c r="AH480" s="89">
        <f t="shared" si="422"/>
        <v>-0.37858336547114024</v>
      </c>
      <c r="AI480" s="89">
        <f t="shared" si="423"/>
        <v>-0.37857142857142867</v>
      </c>
      <c r="AJ480" s="89">
        <f t="shared" si="424"/>
        <v>-0.37857936575775708</v>
      </c>
    </row>
    <row r="481" spans="1:36" x14ac:dyDescent="0.3">
      <c r="A481" s="21" t="s">
        <v>880</v>
      </c>
      <c r="B481" s="18" t="s">
        <v>881</v>
      </c>
      <c r="C481" s="12">
        <f t="shared" si="457"/>
        <v>1</v>
      </c>
      <c r="D481" s="41" t="str">
        <f t="shared" si="458"/>
        <v>un</v>
      </c>
      <c r="E481" s="41">
        <f>ROUND((X481*(1-$M$5))*(1+BDI!$C$21),2)</f>
        <v>135.83000000000001</v>
      </c>
      <c r="F481" s="41">
        <f>ROUND((Y481*(1-$N$5))*(1+BDI!$C$21),2)</f>
        <v>3.02</v>
      </c>
      <c r="G481" s="41">
        <f t="shared" si="452"/>
        <v>138.85000000000002</v>
      </c>
      <c r="H481" s="13">
        <f t="shared" si="453"/>
        <v>135.83000000000001</v>
      </c>
      <c r="I481" s="13">
        <f t="shared" si="454"/>
        <v>3.02</v>
      </c>
      <c r="J481" s="14">
        <f t="shared" si="455"/>
        <v>138.85000000000002</v>
      </c>
      <c r="M481" s="54"/>
      <c r="N481" s="56"/>
      <c r="V481" s="74">
        <v>1</v>
      </c>
      <c r="W481" s="74" t="s">
        <v>109</v>
      </c>
      <c r="X481" s="13">
        <v>169.69</v>
      </c>
      <c r="Y481" s="13">
        <v>3.77</v>
      </c>
      <c r="Z481" s="13">
        <f t="shared" si="456"/>
        <v>173.46</v>
      </c>
      <c r="AB481" s="74">
        <v>1</v>
      </c>
      <c r="AC481" s="74" t="s">
        <v>109</v>
      </c>
      <c r="AD481" s="13">
        <v>218.59</v>
      </c>
      <c r="AE481" s="13">
        <v>4.8600000000000003</v>
      </c>
      <c r="AF481" s="13">
        <f t="shared" si="450"/>
        <v>223.45000000000002</v>
      </c>
      <c r="AH481" s="89">
        <f t="shared" si="422"/>
        <v>-0.37860835353858813</v>
      </c>
      <c r="AI481" s="89">
        <f t="shared" si="423"/>
        <v>-0.37860082304526754</v>
      </c>
      <c r="AJ481" s="89">
        <f t="shared" si="424"/>
        <v>-0.37860818975162225</v>
      </c>
    </row>
    <row r="482" spans="1:36" x14ac:dyDescent="0.3">
      <c r="A482" s="21" t="s">
        <v>882</v>
      </c>
      <c r="B482" s="11" t="s">
        <v>883</v>
      </c>
      <c r="C482" s="12">
        <f t="shared" si="444"/>
        <v>1</v>
      </c>
      <c r="D482" s="41" t="str">
        <f t="shared" si="445"/>
        <v xml:space="preserve">UN </v>
      </c>
      <c r="E482" s="41">
        <f>ROUND((X482*(1-$M$5))*(1+BDI!$C$21),2)</f>
        <v>90.38</v>
      </c>
      <c r="F482" s="41">
        <f>ROUND((Y482*(1-$N$5))*(1+BDI!$C$21),2)</f>
        <v>5.08</v>
      </c>
      <c r="G482" s="41">
        <f t="shared" si="451"/>
        <v>95.46</v>
      </c>
      <c r="H482" s="13">
        <f t="shared" si="446"/>
        <v>90.38</v>
      </c>
      <c r="I482" s="13">
        <f t="shared" si="447"/>
        <v>5.08</v>
      </c>
      <c r="J482" s="14">
        <f t="shared" si="448"/>
        <v>95.46</v>
      </c>
      <c r="M482" s="54"/>
      <c r="N482" s="56"/>
      <c r="V482" s="74">
        <v>1</v>
      </c>
      <c r="W482" s="74" t="s">
        <v>459</v>
      </c>
      <c r="X482" s="13">
        <v>112.9</v>
      </c>
      <c r="Y482" s="13">
        <v>6.35</v>
      </c>
      <c r="Z482" s="13">
        <f t="shared" si="449"/>
        <v>119.25</v>
      </c>
      <c r="AB482" s="74">
        <v>1</v>
      </c>
      <c r="AC482" s="74" t="s">
        <v>459</v>
      </c>
      <c r="AD482" s="13">
        <v>145.44</v>
      </c>
      <c r="AE482" s="13">
        <v>8.18</v>
      </c>
      <c r="AF482" s="13">
        <f t="shared" si="450"/>
        <v>153.62</v>
      </c>
      <c r="AH482" s="89">
        <f t="shared" si="422"/>
        <v>-0.37857535753575355</v>
      </c>
      <c r="AI482" s="89">
        <f t="shared" si="423"/>
        <v>-0.37897310513447424</v>
      </c>
      <c r="AJ482" s="89">
        <f t="shared" si="424"/>
        <v>-0.37859653690925665</v>
      </c>
    </row>
    <row r="483" spans="1:36" x14ac:dyDescent="0.3">
      <c r="A483" s="21" t="s">
        <v>884</v>
      </c>
      <c r="B483" s="18" t="s">
        <v>885</v>
      </c>
      <c r="C483" s="12">
        <f t="shared" si="444"/>
        <v>1</v>
      </c>
      <c r="D483" s="41" t="str">
        <f t="shared" si="445"/>
        <v xml:space="preserve">UN </v>
      </c>
      <c r="E483" s="41">
        <f>ROUND((X483*(1-$M$5))*(1+BDI!$C$21),2)</f>
        <v>50.1</v>
      </c>
      <c r="F483" s="41">
        <f>ROUND((Y483*(1-$N$5))*(1+BDI!$C$21),2)</f>
        <v>24.36</v>
      </c>
      <c r="G483" s="41">
        <f t="shared" si="451"/>
        <v>74.460000000000008</v>
      </c>
      <c r="H483" s="13">
        <f t="shared" si="446"/>
        <v>50.1</v>
      </c>
      <c r="I483" s="13">
        <f t="shared" si="447"/>
        <v>24.36</v>
      </c>
      <c r="J483" s="14">
        <f t="shared" si="448"/>
        <v>74.460000000000008</v>
      </c>
      <c r="M483" s="54"/>
      <c r="N483" s="56"/>
      <c r="V483" s="74">
        <v>1</v>
      </c>
      <c r="W483" s="74" t="s">
        <v>459</v>
      </c>
      <c r="X483" s="13">
        <v>62.59</v>
      </c>
      <c r="Y483" s="13">
        <v>30.43</v>
      </c>
      <c r="Z483" s="13">
        <f t="shared" si="449"/>
        <v>93.02000000000001</v>
      </c>
      <c r="AB483" s="74">
        <v>1</v>
      </c>
      <c r="AC483" s="74" t="s">
        <v>459</v>
      </c>
      <c r="AD483" s="13">
        <v>80.63</v>
      </c>
      <c r="AE483" s="13">
        <v>39.200000000000003</v>
      </c>
      <c r="AF483" s="13">
        <f t="shared" si="450"/>
        <v>119.83</v>
      </c>
      <c r="AH483" s="89">
        <f t="shared" si="422"/>
        <v>-0.3786431849187647</v>
      </c>
      <c r="AI483" s="89">
        <f t="shared" si="423"/>
        <v>-0.37857142857142867</v>
      </c>
      <c r="AJ483" s="89">
        <f t="shared" si="424"/>
        <v>-0.37861971125761484</v>
      </c>
    </row>
    <row r="484" spans="1:36" x14ac:dyDescent="0.3">
      <c r="A484" s="19">
        <v>29</v>
      </c>
      <c r="B484" s="20" t="s">
        <v>886</v>
      </c>
      <c r="C484" s="76"/>
      <c r="D484" s="58"/>
      <c r="E484" s="58"/>
      <c r="F484" s="58"/>
      <c r="G484" s="58"/>
      <c r="H484" s="24">
        <f>SUM(H485:H535)</f>
        <v>292175.34000000003</v>
      </c>
      <c r="I484" s="24">
        <f>SUM(I485:I535)</f>
        <v>202349.59999999995</v>
      </c>
      <c r="J484" s="24">
        <f>SUM(J485:J535)</f>
        <v>494524.93999999994</v>
      </c>
      <c r="M484" s="54"/>
      <c r="N484" s="56"/>
      <c r="V484" s="75"/>
      <c r="W484" s="75"/>
      <c r="X484" s="23"/>
      <c r="Y484" s="23"/>
      <c r="Z484" s="23"/>
      <c r="AB484" s="75"/>
      <c r="AC484" s="75"/>
      <c r="AD484" s="23"/>
      <c r="AE484" s="23"/>
      <c r="AF484" s="23"/>
      <c r="AH484" s="89">
        <f t="shared" si="422"/>
        <v>0</v>
      </c>
      <c r="AI484" s="89">
        <f t="shared" si="423"/>
        <v>0</v>
      </c>
      <c r="AJ484" s="89">
        <f t="shared" si="424"/>
        <v>0</v>
      </c>
    </row>
    <row r="485" spans="1:36" x14ac:dyDescent="0.3">
      <c r="A485" s="21" t="s">
        <v>887</v>
      </c>
      <c r="B485" s="11" t="s">
        <v>888</v>
      </c>
      <c r="C485" s="12">
        <f t="shared" ref="C485:C528" si="459">V485</f>
        <v>10</v>
      </c>
      <c r="D485" s="41" t="str">
        <f t="shared" ref="D485:D528" si="460">W485</f>
        <v>UN</v>
      </c>
      <c r="E485" s="41">
        <f>ROUND((X485*(1-$M$5))*(1+BDI!$C$21),2)</f>
        <v>25.42</v>
      </c>
      <c r="F485" s="41">
        <f>ROUND((Y485*(1-$N$5))*(1+BDI!$C$21),2)</f>
        <v>6.92</v>
      </c>
      <c r="G485" s="41">
        <f t="shared" si="451"/>
        <v>32.340000000000003</v>
      </c>
      <c r="H485" s="13">
        <f t="shared" ref="H485:H530" si="461">C485*E485</f>
        <v>254.20000000000002</v>
      </c>
      <c r="I485" s="13">
        <f t="shared" ref="I485:I530" si="462">C485*F485</f>
        <v>69.2</v>
      </c>
      <c r="J485" s="14">
        <f t="shared" si="448"/>
        <v>323.40000000000003</v>
      </c>
      <c r="M485" s="54"/>
      <c r="N485" s="56"/>
      <c r="V485" s="74">
        <v>10</v>
      </c>
      <c r="W485" s="74" t="s">
        <v>46</v>
      </c>
      <c r="X485" s="13">
        <v>31.75</v>
      </c>
      <c r="Y485" s="13">
        <v>8.64</v>
      </c>
      <c r="Z485" s="13">
        <f t="shared" ref="Z485:Z530" si="463">SUM(X485:Y485)</f>
        <v>40.39</v>
      </c>
      <c r="AB485" s="74">
        <v>10</v>
      </c>
      <c r="AC485" s="74" t="s">
        <v>46</v>
      </c>
      <c r="AD485" s="13">
        <v>40.9</v>
      </c>
      <c r="AE485" s="13">
        <v>11.13</v>
      </c>
      <c r="AF485" s="13">
        <f t="shared" ref="AF485:AF510" si="464">SUM(AD485:AE485)</f>
        <v>52.03</v>
      </c>
      <c r="AH485" s="89">
        <f t="shared" si="422"/>
        <v>-0.37848410757946205</v>
      </c>
      <c r="AI485" s="89">
        <f t="shared" si="423"/>
        <v>-0.37825696316262358</v>
      </c>
      <c r="AJ485" s="89">
        <f t="shared" si="424"/>
        <v>-0.37843551797040165</v>
      </c>
    </row>
    <row r="486" spans="1:36" ht="28.8" x14ac:dyDescent="0.3">
      <c r="A486" s="21" t="s">
        <v>889</v>
      </c>
      <c r="B486" s="11" t="s">
        <v>890</v>
      </c>
      <c r="C486" s="12">
        <f t="shared" si="459"/>
        <v>101</v>
      </c>
      <c r="D486" s="41" t="str">
        <f t="shared" si="460"/>
        <v>M</v>
      </c>
      <c r="E486" s="41">
        <f>ROUND((X486*(1-$M$5))*(1+BDI!$C$21),2)</f>
        <v>9.99</v>
      </c>
      <c r="F486" s="41">
        <f>ROUND((Y486*(1-$N$5))*(1+BDI!$C$21),2)</f>
        <v>11.47</v>
      </c>
      <c r="G486" s="41">
        <f t="shared" si="451"/>
        <v>21.46</v>
      </c>
      <c r="H486" s="13">
        <f t="shared" si="461"/>
        <v>1008.99</v>
      </c>
      <c r="I486" s="13">
        <f t="shared" si="462"/>
        <v>1158.47</v>
      </c>
      <c r="J486" s="14">
        <f t="shared" si="448"/>
        <v>2167.46</v>
      </c>
      <c r="M486" s="54"/>
      <c r="N486" s="56"/>
      <c r="V486" s="74">
        <v>101</v>
      </c>
      <c r="W486" s="74" t="s">
        <v>891</v>
      </c>
      <c r="X486" s="13">
        <v>12.48</v>
      </c>
      <c r="Y486" s="13">
        <v>14.33</v>
      </c>
      <c r="Z486" s="13">
        <f t="shared" si="463"/>
        <v>26.810000000000002</v>
      </c>
      <c r="AB486" s="74">
        <v>101</v>
      </c>
      <c r="AC486" s="74" t="s">
        <v>891</v>
      </c>
      <c r="AD486" s="13">
        <v>16.079999999999998</v>
      </c>
      <c r="AE486" s="13">
        <v>18.46</v>
      </c>
      <c r="AF486" s="13">
        <f t="shared" si="464"/>
        <v>34.54</v>
      </c>
      <c r="AH486" s="89">
        <f t="shared" si="422"/>
        <v>-0.37873134328358204</v>
      </c>
      <c r="AI486" s="89">
        <f t="shared" si="423"/>
        <v>-0.37865655471289272</v>
      </c>
      <c r="AJ486" s="89">
        <f t="shared" si="424"/>
        <v>-0.3786913723219455</v>
      </c>
    </row>
    <row r="487" spans="1:36" x14ac:dyDescent="0.3">
      <c r="A487" s="21" t="s">
        <v>892</v>
      </c>
      <c r="B487" s="11" t="s">
        <v>893</v>
      </c>
      <c r="C487" s="12">
        <f t="shared" si="459"/>
        <v>11</v>
      </c>
      <c r="D487" s="41" t="str">
        <f t="shared" si="460"/>
        <v>UN</v>
      </c>
      <c r="E487" s="41">
        <f>ROUND((X487*(1-$M$5))*(1+BDI!$C$21),2)</f>
        <v>177.12</v>
      </c>
      <c r="F487" s="41">
        <f>ROUND((Y487*(1-$N$5))*(1+BDI!$C$21),2)</f>
        <v>12.89</v>
      </c>
      <c r="G487" s="41">
        <f t="shared" si="451"/>
        <v>190.01</v>
      </c>
      <c r="H487" s="13">
        <f t="shared" si="461"/>
        <v>1948.3200000000002</v>
      </c>
      <c r="I487" s="13">
        <f t="shared" si="462"/>
        <v>141.79000000000002</v>
      </c>
      <c r="J487" s="14">
        <f t="shared" si="448"/>
        <v>2090.1099999999997</v>
      </c>
      <c r="M487" s="54"/>
      <c r="N487" s="56"/>
      <c r="V487" s="74">
        <v>11</v>
      </c>
      <c r="W487" s="74" t="s">
        <v>46</v>
      </c>
      <c r="X487" s="13">
        <v>221.27</v>
      </c>
      <c r="Y487" s="13">
        <v>16.100000000000001</v>
      </c>
      <c r="Z487" s="13">
        <f t="shared" si="463"/>
        <v>237.37</v>
      </c>
      <c r="AB487" s="74">
        <v>11</v>
      </c>
      <c r="AC487" s="74" t="s">
        <v>46</v>
      </c>
      <c r="AD487" s="13">
        <v>285.04000000000002</v>
      </c>
      <c r="AE487" s="13">
        <v>20.74</v>
      </c>
      <c r="AF487" s="13">
        <f t="shared" si="464"/>
        <v>305.78000000000003</v>
      </c>
      <c r="AH487" s="89">
        <f t="shared" si="422"/>
        <v>-0.37861352792590519</v>
      </c>
      <c r="AI487" s="89">
        <f t="shared" si="423"/>
        <v>-0.37849566055930561</v>
      </c>
      <c r="AJ487" s="89">
        <f t="shared" si="424"/>
        <v>-0.37860553339001901</v>
      </c>
    </row>
    <row r="488" spans="1:36" ht="28.8" x14ac:dyDescent="0.3">
      <c r="A488" s="21" t="s">
        <v>894</v>
      </c>
      <c r="B488" s="11" t="s">
        <v>1061</v>
      </c>
      <c r="C488" s="12">
        <f t="shared" si="459"/>
        <v>190</v>
      </c>
      <c r="D488" s="41" t="str">
        <f t="shared" si="460"/>
        <v>M</v>
      </c>
      <c r="E488" s="41">
        <f>ROUND((X488*(1-$M$5))*(1+BDI!$C$21),2)</f>
        <v>10.55</v>
      </c>
      <c r="F488" s="41">
        <f>ROUND((Y488*(1-$N$5))*(1+BDI!$C$21),2)</f>
        <v>6.88</v>
      </c>
      <c r="G488" s="41">
        <f t="shared" si="451"/>
        <v>17.43</v>
      </c>
      <c r="H488" s="13">
        <f t="shared" si="461"/>
        <v>2004.5000000000002</v>
      </c>
      <c r="I488" s="13">
        <f t="shared" si="462"/>
        <v>1307.2</v>
      </c>
      <c r="J488" s="14">
        <f t="shared" si="448"/>
        <v>3311.7</v>
      </c>
      <c r="M488" s="54"/>
      <c r="N488" s="56"/>
      <c r="V488" s="74">
        <v>190</v>
      </c>
      <c r="W488" s="74" t="s">
        <v>891</v>
      </c>
      <c r="X488" s="13">
        <v>13.18</v>
      </c>
      <c r="Y488" s="13">
        <v>8.6</v>
      </c>
      <c r="Z488" s="13">
        <f t="shared" si="463"/>
        <v>21.78</v>
      </c>
      <c r="AB488" s="74">
        <v>190</v>
      </c>
      <c r="AC488" s="74" t="s">
        <v>891</v>
      </c>
      <c r="AD488" s="13">
        <v>16.98</v>
      </c>
      <c r="AE488" s="13">
        <v>11.08</v>
      </c>
      <c r="AF488" s="13">
        <f t="shared" si="464"/>
        <v>28.060000000000002</v>
      </c>
      <c r="AH488" s="89">
        <f t="shared" ref="AH488:AH535" si="465">IF(E488=0,0,(E488/AD488)-1)</f>
        <v>-0.37868080094228507</v>
      </c>
      <c r="AI488" s="89">
        <f t="shared" si="423"/>
        <v>-0.37906137184115529</v>
      </c>
      <c r="AJ488" s="89">
        <f t="shared" si="424"/>
        <v>-0.37883107626514623</v>
      </c>
    </row>
    <row r="489" spans="1:36" x14ac:dyDescent="0.3">
      <c r="A489" s="21" t="s">
        <v>895</v>
      </c>
      <c r="B489" s="11" t="s">
        <v>896</v>
      </c>
      <c r="C489" s="12">
        <f t="shared" si="459"/>
        <v>9</v>
      </c>
      <c r="D489" s="41" t="str">
        <f t="shared" si="460"/>
        <v>CJ</v>
      </c>
      <c r="E489" s="41">
        <f>ROUND((X489*(1-$M$5))*(1+BDI!$C$21),2)</f>
        <v>335</v>
      </c>
      <c r="F489" s="41">
        <f>ROUND((Y489*(1-$N$5))*(1+BDI!$C$21),2)</f>
        <v>107.91</v>
      </c>
      <c r="G489" s="41">
        <f t="shared" si="451"/>
        <v>442.90999999999997</v>
      </c>
      <c r="H489" s="13">
        <f t="shared" si="461"/>
        <v>3015</v>
      </c>
      <c r="I489" s="13">
        <f t="shared" si="462"/>
        <v>971.18999999999994</v>
      </c>
      <c r="J489" s="14">
        <f t="shared" si="448"/>
        <v>3986.1899999999996</v>
      </c>
      <c r="M489" s="54"/>
      <c r="N489" s="56"/>
      <c r="V489" s="74">
        <v>9</v>
      </c>
      <c r="W489" s="74" t="s">
        <v>897</v>
      </c>
      <c r="X489" s="13">
        <v>418.5</v>
      </c>
      <c r="Y489" s="13">
        <v>134.80000000000001</v>
      </c>
      <c r="Z489" s="13">
        <f t="shared" si="463"/>
        <v>553.29999999999995</v>
      </c>
      <c r="AB489" s="74">
        <v>9</v>
      </c>
      <c r="AC489" s="74" t="s">
        <v>897</v>
      </c>
      <c r="AD489" s="13">
        <v>539.11</v>
      </c>
      <c r="AE489" s="13">
        <v>173.65</v>
      </c>
      <c r="AF489" s="13">
        <f t="shared" si="464"/>
        <v>712.76</v>
      </c>
      <c r="AH489" s="89">
        <f t="shared" si="465"/>
        <v>-0.37860547940123535</v>
      </c>
      <c r="AI489" s="89">
        <f t="shared" ref="AI489:AI535" si="466">IF(F489=0,0,(F489/AE489)-1)</f>
        <v>-0.37857759861790963</v>
      </c>
      <c r="AJ489" s="89">
        <f t="shared" ref="AJ489:AJ535" si="467">IF(G489=0,0,(G489/AF489)-1)</f>
        <v>-0.3785986867949942</v>
      </c>
    </row>
    <row r="490" spans="1:36" x14ac:dyDescent="0.3">
      <c r="A490" s="21" t="s">
        <v>898</v>
      </c>
      <c r="B490" s="11" t="s">
        <v>899</v>
      </c>
      <c r="C490" s="12">
        <f t="shared" si="459"/>
        <v>3188</v>
      </c>
      <c r="D490" s="41" t="str">
        <f t="shared" si="460"/>
        <v>UN</v>
      </c>
      <c r="E490" s="41">
        <f>ROUND((X490*(1-$M$5))*(1+BDI!$C$21),2)</f>
        <v>13.37</v>
      </c>
      <c r="F490" s="41">
        <f>ROUND((Y490*(1-$N$5))*(1+BDI!$C$21),2)</f>
        <v>1.57</v>
      </c>
      <c r="G490" s="41">
        <f t="shared" si="451"/>
        <v>14.94</v>
      </c>
      <c r="H490" s="13">
        <f t="shared" si="461"/>
        <v>42623.56</v>
      </c>
      <c r="I490" s="13">
        <f t="shared" si="462"/>
        <v>5005.16</v>
      </c>
      <c r="J490" s="14">
        <f t="shared" si="448"/>
        <v>47628.72</v>
      </c>
      <c r="M490" s="54"/>
      <c r="N490" s="56"/>
      <c r="V490" s="74">
        <v>3188</v>
      </c>
      <c r="W490" s="74" t="s">
        <v>46</v>
      </c>
      <c r="X490" s="13">
        <v>16.7</v>
      </c>
      <c r="Y490" s="13">
        <v>1.96</v>
      </c>
      <c r="Z490" s="13">
        <f t="shared" si="463"/>
        <v>18.66</v>
      </c>
      <c r="AB490" s="74">
        <v>3188</v>
      </c>
      <c r="AC490" s="74" t="s">
        <v>46</v>
      </c>
      <c r="AD490" s="13">
        <v>21.51</v>
      </c>
      <c r="AE490" s="13">
        <v>2.52</v>
      </c>
      <c r="AF490" s="13">
        <f t="shared" si="464"/>
        <v>24.03</v>
      </c>
      <c r="AH490" s="89">
        <f t="shared" si="465"/>
        <v>-0.37842863784286385</v>
      </c>
      <c r="AI490" s="89">
        <f t="shared" si="466"/>
        <v>-0.37698412698412698</v>
      </c>
      <c r="AJ490" s="89">
        <f t="shared" si="467"/>
        <v>-0.37827715355805247</v>
      </c>
    </row>
    <row r="491" spans="1:36" x14ac:dyDescent="0.3">
      <c r="A491" s="21" t="s">
        <v>900</v>
      </c>
      <c r="B491" s="11" t="s">
        <v>901</v>
      </c>
      <c r="C491" s="12">
        <f t="shared" si="459"/>
        <v>335</v>
      </c>
      <c r="D491" s="41" t="str">
        <f t="shared" si="460"/>
        <v>M</v>
      </c>
      <c r="E491" s="41">
        <f>ROUND((X491*(1-$M$5))*(1+BDI!$C$21),2)</f>
        <v>7.16</v>
      </c>
      <c r="F491" s="41">
        <f>ROUND((Y491*(1-$N$5))*(1+BDI!$C$21),2)</f>
        <v>10.74</v>
      </c>
      <c r="G491" s="41">
        <f t="shared" si="451"/>
        <v>17.899999999999999</v>
      </c>
      <c r="H491" s="13">
        <f t="shared" si="461"/>
        <v>2398.6</v>
      </c>
      <c r="I491" s="13">
        <f t="shared" si="462"/>
        <v>3597.9</v>
      </c>
      <c r="J491" s="14">
        <f t="shared" si="448"/>
        <v>5996.4999999999991</v>
      </c>
      <c r="M491" s="54"/>
      <c r="N491" s="56"/>
      <c r="V491" s="74">
        <v>335</v>
      </c>
      <c r="W491" s="74" t="s">
        <v>891</v>
      </c>
      <c r="X491" s="13">
        <v>8.9499999999999993</v>
      </c>
      <c r="Y491" s="13">
        <v>13.42</v>
      </c>
      <c r="Z491" s="13">
        <f t="shared" si="463"/>
        <v>22.369999999999997</v>
      </c>
      <c r="AB491" s="74">
        <v>335</v>
      </c>
      <c r="AC491" s="74" t="s">
        <v>891</v>
      </c>
      <c r="AD491" s="13">
        <v>11.53</v>
      </c>
      <c r="AE491" s="13">
        <v>17.29</v>
      </c>
      <c r="AF491" s="13">
        <f t="shared" si="464"/>
        <v>28.82</v>
      </c>
      <c r="AH491" s="89">
        <f t="shared" si="465"/>
        <v>-0.37901127493495224</v>
      </c>
      <c r="AI491" s="89">
        <f t="shared" si="466"/>
        <v>-0.37883169462116828</v>
      </c>
      <c r="AJ491" s="89">
        <f t="shared" si="467"/>
        <v>-0.37890353920888276</v>
      </c>
    </row>
    <row r="492" spans="1:36" x14ac:dyDescent="0.3">
      <c r="A492" s="21" t="s">
        <v>902</v>
      </c>
      <c r="B492" s="11" t="s">
        <v>903</v>
      </c>
      <c r="C492" s="12">
        <f t="shared" si="459"/>
        <v>12</v>
      </c>
      <c r="D492" s="41" t="str">
        <f t="shared" si="460"/>
        <v>UN</v>
      </c>
      <c r="E492" s="41">
        <f>ROUND((X492*(1-$M$5))*(1+BDI!$C$21),2)</f>
        <v>17.7</v>
      </c>
      <c r="F492" s="41">
        <f>ROUND((Y492*(1-$N$5))*(1+BDI!$C$21),2)</f>
        <v>85.92</v>
      </c>
      <c r="G492" s="41">
        <f t="shared" si="451"/>
        <v>103.62</v>
      </c>
      <c r="H492" s="13">
        <f t="shared" si="461"/>
        <v>212.39999999999998</v>
      </c>
      <c r="I492" s="13">
        <f t="shared" si="462"/>
        <v>1031.04</v>
      </c>
      <c r="J492" s="14">
        <f t="shared" si="448"/>
        <v>1243.44</v>
      </c>
      <c r="M492" s="54"/>
      <c r="N492" s="56"/>
      <c r="V492" s="74">
        <v>12</v>
      </c>
      <c r="W492" s="74" t="s">
        <v>46</v>
      </c>
      <c r="X492" s="13">
        <v>22.11</v>
      </c>
      <c r="Y492" s="13">
        <v>107.34</v>
      </c>
      <c r="Z492" s="13">
        <f t="shared" si="463"/>
        <v>129.44999999999999</v>
      </c>
      <c r="AB492" s="74">
        <v>12</v>
      </c>
      <c r="AC492" s="74" t="s">
        <v>46</v>
      </c>
      <c r="AD492" s="13">
        <v>28.48</v>
      </c>
      <c r="AE492" s="13">
        <v>138.28</v>
      </c>
      <c r="AF492" s="13">
        <f t="shared" si="464"/>
        <v>166.76</v>
      </c>
      <c r="AH492" s="89">
        <f t="shared" si="465"/>
        <v>-0.3785112359550562</v>
      </c>
      <c r="AI492" s="89">
        <f t="shared" si="466"/>
        <v>-0.37865201041365348</v>
      </c>
      <c r="AJ492" s="89">
        <f t="shared" si="467"/>
        <v>-0.37862796833773082</v>
      </c>
    </row>
    <row r="493" spans="1:36" ht="28.8" x14ac:dyDescent="0.3">
      <c r="A493" s="21" t="s">
        <v>904</v>
      </c>
      <c r="B493" s="11" t="s">
        <v>905</v>
      </c>
      <c r="C493" s="12">
        <f t="shared" si="459"/>
        <v>12</v>
      </c>
      <c r="D493" s="41" t="str">
        <f t="shared" si="460"/>
        <v>UN</v>
      </c>
      <c r="E493" s="41">
        <f>ROUND((X493*(1-$M$5))*(1+BDI!$C$21),2)</f>
        <v>70.19</v>
      </c>
      <c r="F493" s="41">
        <f>ROUND((Y493*(1-$N$5))*(1+BDI!$C$21),2)</f>
        <v>42.96</v>
      </c>
      <c r="G493" s="41">
        <f t="shared" si="451"/>
        <v>113.15</v>
      </c>
      <c r="H493" s="13">
        <f t="shared" si="461"/>
        <v>842.28</v>
      </c>
      <c r="I493" s="13">
        <f t="shared" si="462"/>
        <v>515.52</v>
      </c>
      <c r="J493" s="14">
        <f t="shared" si="448"/>
        <v>1357.8000000000002</v>
      </c>
      <c r="M493" s="54"/>
      <c r="N493" s="55"/>
      <c r="V493" s="74">
        <v>12</v>
      </c>
      <c r="W493" s="74" t="s">
        <v>46</v>
      </c>
      <c r="X493" s="13">
        <v>87.68</v>
      </c>
      <c r="Y493" s="13">
        <v>53.67</v>
      </c>
      <c r="Z493" s="13">
        <f t="shared" si="463"/>
        <v>141.35000000000002</v>
      </c>
      <c r="AB493" s="74">
        <v>12</v>
      </c>
      <c r="AC493" s="74" t="s">
        <v>46</v>
      </c>
      <c r="AD493" s="13">
        <v>112.95</v>
      </c>
      <c r="AE493" s="13">
        <v>69.14</v>
      </c>
      <c r="AF493" s="13">
        <f t="shared" si="464"/>
        <v>182.09</v>
      </c>
      <c r="AH493" s="89">
        <f t="shared" si="465"/>
        <v>-0.37857459052678177</v>
      </c>
      <c r="AI493" s="89">
        <f t="shared" si="466"/>
        <v>-0.37865201041365348</v>
      </c>
      <c r="AJ493" s="89">
        <f t="shared" si="467"/>
        <v>-0.37860398703937614</v>
      </c>
    </row>
    <row r="494" spans="1:36" ht="28.8" x14ac:dyDescent="0.3">
      <c r="A494" s="21" t="s">
        <v>906</v>
      </c>
      <c r="B494" s="11" t="s">
        <v>907</v>
      </c>
      <c r="C494" s="12">
        <f t="shared" si="459"/>
        <v>41</v>
      </c>
      <c r="D494" s="41" t="str">
        <f t="shared" si="460"/>
        <v>UN</v>
      </c>
      <c r="E494" s="41">
        <f>ROUND((X494*(1-$M$5))*(1+BDI!$C$21),2)</f>
        <v>70.34</v>
      </c>
      <c r="F494" s="41">
        <f>ROUND((Y494*(1-$N$5))*(1+BDI!$C$21),2)</f>
        <v>42.96</v>
      </c>
      <c r="G494" s="41">
        <f t="shared" si="451"/>
        <v>113.30000000000001</v>
      </c>
      <c r="H494" s="13">
        <f t="shared" si="461"/>
        <v>2883.94</v>
      </c>
      <c r="I494" s="13">
        <f t="shared" si="462"/>
        <v>1761.3600000000001</v>
      </c>
      <c r="J494" s="14">
        <f t="shared" si="448"/>
        <v>4645.3</v>
      </c>
      <c r="M494" s="54"/>
      <c r="N494" s="56"/>
      <c r="V494" s="74">
        <v>41</v>
      </c>
      <c r="W494" s="74" t="s">
        <v>46</v>
      </c>
      <c r="X494" s="13">
        <v>87.87</v>
      </c>
      <c r="Y494" s="13">
        <v>53.67</v>
      </c>
      <c r="Z494" s="13">
        <f t="shared" si="463"/>
        <v>141.54000000000002</v>
      </c>
      <c r="AB494" s="74">
        <v>41</v>
      </c>
      <c r="AC494" s="74" t="s">
        <v>46</v>
      </c>
      <c r="AD494" s="13">
        <v>113.19</v>
      </c>
      <c r="AE494" s="13">
        <v>69.14</v>
      </c>
      <c r="AF494" s="13">
        <f t="shared" si="464"/>
        <v>182.32999999999998</v>
      </c>
      <c r="AH494" s="89">
        <f t="shared" si="465"/>
        <v>-0.37856701122007241</v>
      </c>
      <c r="AI494" s="89">
        <f t="shared" si="466"/>
        <v>-0.37865201041365348</v>
      </c>
      <c r="AJ494" s="89">
        <f t="shared" si="467"/>
        <v>-0.37859924313058724</v>
      </c>
    </row>
    <row r="495" spans="1:36" x14ac:dyDescent="0.3">
      <c r="A495" s="21" t="s">
        <v>908</v>
      </c>
      <c r="B495" s="18" t="s">
        <v>909</v>
      </c>
      <c r="C495" s="12">
        <f t="shared" si="459"/>
        <v>4323</v>
      </c>
      <c r="D495" s="41" t="str">
        <f t="shared" si="460"/>
        <v>M</v>
      </c>
      <c r="E495" s="41">
        <f>ROUND((X495*(1-$M$5))*(1+BDI!$C$21),2)</f>
        <v>1.06</v>
      </c>
      <c r="F495" s="41">
        <f>ROUND((Y495*(1-$N$5))*(1+BDI!$C$21),2)</f>
        <v>6.88</v>
      </c>
      <c r="G495" s="41">
        <f t="shared" si="451"/>
        <v>7.9399999999999995</v>
      </c>
      <c r="H495" s="13">
        <f t="shared" si="461"/>
        <v>4582.38</v>
      </c>
      <c r="I495" s="13">
        <f t="shared" si="462"/>
        <v>29742.239999999998</v>
      </c>
      <c r="J495" s="14">
        <f t="shared" si="448"/>
        <v>34324.619999999995</v>
      </c>
      <c r="M495" s="54"/>
      <c r="N495" s="56"/>
      <c r="V495" s="74">
        <v>4323</v>
      </c>
      <c r="W495" s="74" t="s">
        <v>891</v>
      </c>
      <c r="X495" s="13">
        <v>1.32</v>
      </c>
      <c r="Y495" s="13">
        <v>8.6</v>
      </c>
      <c r="Z495" s="13">
        <f t="shared" si="463"/>
        <v>9.92</v>
      </c>
      <c r="AB495" s="74">
        <v>4323</v>
      </c>
      <c r="AC495" s="74" t="s">
        <v>891</v>
      </c>
      <c r="AD495" s="13">
        <v>1.7</v>
      </c>
      <c r="AE495" s="13">
        <v>11.08</v>
      </c>
      <c r="AF495" s="13">
        <f t="shared" si="464"/>
        <v>12.78</v>
      </c>
      <c r="AH495" s="89">
        <f t="shared" si="465"/>
        <v>-0.37647058823529411</v>
      </c>
      <c r="AI495" s="89">
        <f t="shared" si="466"/>
        <v>-0.37906137184115529</v>
      </c>
      <c r="AJ495" s="89">
        <f t="shared" si="467"/>
        <v>-0.37871674491392804</v>
      </c>
    </row>
    <row r="496" spans="1:36" x14ac:dyDescent="0.3">
      <c r="A496" s="21" t="s">
        <v>910</v>
      </c>
      <c r="B496" s="11" t="s">
        <v>911</v>
      </c>
      <c r="C496" s="12">
        <f t="shared" si="459"/>
        <v>1361</v>
      </c>
      <c r="D496" s="41" t="str">
        <f t="shared" si="460"/>
        <v>M</v>
      </c>
      <c r="E496" s="41">
        <f>ROUND((X496*(1-$M$5))*(1+BDI!$C$21),2)</f>
        <v>8.33</v>
      </c>
      <c r="F496" s="41">
        <f>ROUND((Y496*(1-$N$5))*(1+BDI!$C$21),2)</f>
        <v>6.88</v>
      </c>
      <c r="G496" s="41">
        <f t="shared" si="451"/>
        <v>15.21</v>
      </c>
      <c r="H496" s="13">
        <f t="shared" si="461"/>
        <v>11337.13</v>
      </c>
      <c r="I496" s="13">
        <f t="shared" si="462"/>
        <v>9363.68</v>
      </c>
      <c r="J496" s="14">
        <f t="shared" si="448"/>
        <v>20700.810000000001</v>
      </c>
      <c r="M496" s="54"/>
      <c r="N496" s="56"/>
      <c r="V496" s="74">
        <v>1361</v>
      </c>
      <c r="W496" s="74" t="s">
        <v>891</v>
      </c>
      <c r="X496" s="13">
        <v>10.4</v>
      </c>
      <c r="Y496" s="13">
        <v>8.6</v>
      </c>
      <c r="Z496" s="13">
        <f t="shared" si="463"/>
        <v>19</v>
      </c>
      <c r="AB496" s="74">
        <v>1361</v>
      </c>
      <c r="AC496" s="74" t="s">
        <v>891</v>
      </c>
      <c r="AD496" s="13">
        <v>13.4</v>
      </c>
      <c r="AE496" s="13">
        <v>11.08</v>
      </c>
      <c r="AF496" s="13">
        <f t="shared" si="464"/>
        <v>24.48</v>
      </c>
      <c r="AH496" s="89">
        <f t="shared" si="465"/>
        <v>-0.37835820895522387</v>
      </c>
      <c r="AI496" s="89">
        <f t="shared" si="466"/>
        <v>-0.37906137184115529</v>
      </c>
      <c r="AJ496" s="89">
        <f t="shared" si="467"/>
        <v>-0.37867647058823528</v>
      </c>
    </row>
    <row r="497" spans="1:36" ht="28.8" x14ac:dyDescent="0.3">
      <c r="A497" s="21" t="s">
        <v>912</v>
      </c>
      <c r="B497" s="11" t="s">
        <v>913</v>
      </c>
      <c r="C497" s="12">
        <f t="shared" si="459"/>
        <v>41</v>
      </c>
      <c r="D497" s="41" t="str">
        <f t="shared" si="460"/>
        <v>M²</v>
      </c>
      <c r="E497" s="41">
        <f>ROUND((X497*(1-$M$5))*(1+BDI!$C$21),2)</f>
        <v>22.81</v>
      </c>
      <c r="F497" s="41">
        <f>ROUND((Y497*(1-$N$5))*(1+BDI!$C$21),2)</f>
        <v>42.96</v>
      </c>
      <c r="G497" s="41">
        <f t="shared" si="451"/>
        <v>65.77</v>
      </c>
      <c r="H497" s="13">
        <f t="shared" si="461"/>
        <v>935.20999999999992</v>
      </c>
      <c r="I497" s="13">
        <f t="shared" si="462"/>
        <v>1761.3600000000001</v>
      </c>
      <c r="J497" s="14">
        <f t="shared" si="448"/>
        <v>2696.5699999999997</v>
      </c>
      <c r="M497" s="54"/>
      <c r="N497" s="56"/>
      <c r="V497" s="74">
        <v>41</v>
      </c>
      <c r="W497" s="74" t="s">
        <v>914</v>
      </c>
      <c r="X497" s="13">
        <v>28.5</v>
      </c>
      <c r="Y497" s="13">
        <v>53.67</v>
      </c>
      <c r="Z497" s="13">
        <f t="shared" si="463"/>
        <v>82.17</v>
      </c>
      <c r="AB497" s="74">
        <v>41</v>
      </c>
      <c r="AC497" s="74" t="s">
        <v>914</v>
      </c>
      <c r="AD497" s="13">
        <v>36.71</v>
      </c>
      <c r="AE497" s="13">
        <v>69.14</v>
      </c>
      <c r="AF497" s="13">
        <f t="shared" si="464"/>
        <v>105.85</v>
      </c>
      <c r="AH497" s="89">
        <f t="shared" si="465"/>
        <v>-0.37864342141105967</v>
      </c>
      <c r="AI497" s="89">
        <f t="shared" si="466"/>
        <v>-0.37865201041365348</v>
      </c>
      <c r="AJ497" s="89">
        <f t="shared" si="467"/>
        <v>-0.37864903164855923</v>
      </c>
    </row>
    <row r="498" spans="1:36" ht="28.8" x14ac:dyDescent="0.3">
      <c r="A498" s="21" t="s">
        <v>915</v>
      </c>
      <c r="B498" s="11" t="s">
        <v>916</v>
      </c>
      <c r="C498" s="12">
        <f t="shared" si="459"/>
        <v>204</v>
      </c>
      <c r="D498" s="41" t="str">
        <f t="shared" si="460"/>
        <v>M²</v>
      </c>
      <c r="E498" s="41">
        <f>ROUND((X498*(1-$M$5))*(1+BDI!$C$21),2)</f>
        <v>151.97</v>
      </c>
      <c r="F498" s="41">
        <f>ROUND((Y498*(1-$N$5))*(1+BDI!$C$21),2)</f>
        <v>42.96</v>
      </c>
      <c r="G498" s="41">
        <f t="shared" si="451"/>
        <v>194.93</v>
      </c>
      <c r="H498" s="13">
        <f t="shared" si="461"/>
        <v>31001.88</v>
      </c>
      <c r="I498" s="13">
        <f t="shared" si="462"/>
        <v>8763.84</v>
      </c>
      <c r="J498" s="14">
        <f t="shared" si="448"/>
        <v>39765.72</v>
      </c>
      <c r="M498" s="54"/>
      <c r="N498" s="56"/>
      <c r="V498" s="74">
        <v>204</v>
      </c>
      <c r="W498" s="74" t="s">
        <v>914</v>
      </c>
      <c r="X498" s="13">
        <v>189.85</v>
      </c>
      <c r="Y498" s="13">
        <v>53.67</v>
      </c>
      <c r="Z498" s="13">
        <f t="shared" si="463"/>
        <v>243.51999999999998</v>
      </c>
      <c r="AB498" s="74">
        <v>204</v>
      </c>
      <c r="AC498" s="74" t="s">
        <v>914</v>
      </c>
      <c r="AD498" s="13">
        <v>244.56</v>
      </c>
      <c r="AE498" s="13">
        <v>69.14</v>
      </c>
      <c r="AF498" s="13">
        <f t="shared" si="464"/>
        <v>313.7</v>
      </c>
      <c r="AH498" s="89">
        <f t="shared" si="465"/>
        <v>-0.37859829898593389</v>
      </c>
      <c r="AI498" s="89">
        <f t="shared" si="466"/>
        <v>-0.37865201041365348</v>
      </c>
      <c r="AJ498" s="89">
        <f t="shared" si="467"/>
        <v>-0.37861013707363722</v>
      </c>
    </row>
    <row r="499" spans="1:36" ht="28.8" x14ac:dyDescent="0.3">
      <c r="A499" s="21" t="s">
        <v>917</v>
      </c>
      <c r="B499" s="11" t="s">
        <v>918</v>
      </c>
      <c r="C499" s="12">
        <f t="shared" si="459"/>
        <v>39</v>
      </c>
      <c r="D499" s="41" t="str">
        <f t="shared" si="460"/>
        <v>M²</v>
      </c>
      <c r="E499" s="41">
        <f>ROUND((X499*(1-$M$5))*(1+BDI!$C$21),2)</f>
        <v>149.16</v>
      </c>
      <c r="F499" s="41">
        <f>ROUND((Y499*(1-$N$5))*(1+BDI!$C$21),2)</f>
        <v>42.96</v>
      </c>
      <c r="G499" s="41">
        <f t="shared" si="451"/>
        <v>192.12</v>
      </c>
      <c r="H499" s="13">
        <f t="shared" si="461"/>
        <v>5817.24</v>
      </c>
      <c r="I499" s="13">
        <f t="shared" si="462"/>
        <v>1675.44</v>
      </c>
      <c r="J499" s="14">
        <f t="shared" si="448"/>
        <v>7492.68</v>
      </c>
      <c r="M499" s="54"/>
      <c r="N499" s="56"/>
      <c r="V499" s="74">
        <v>39</v>
      </c>
      <c r="W499" s="74" t="s">
        <v>914</v>
      </c>
      <c r="X499" s="13">
        <v>186.34</v>
      </c>
      <c r="Y499" s="13">
        <v>53.67</v>
      </c>
      <c r="Z499" s="13">
        <f t="shared" si="463"/>
        <v>240.01</v>
      </c>
      <c r="AB499" s="74">
        <v>39</v>
      </c>
      <c r="AC499" s="74" t="s">
        <v>914</v>
      </c>
      <c r="AD499" s="13">
        <v>240.04</v>
      </c>
      <c r="AE499" s="13">
        <v>69.14</v>
      </c>
      <c r="AF499" s="13">
        <f t="shared" si="464"/>
        <v>309.18</v>
      </c>
      <c r="AH499" s="89">
        <f t="shared" si="465"/>
        <v>-0.37860356607232126</v>
      </c>
      <c r="AI499" s="89">
        <f t="shared" si="466"/>
        <v>-0.37865201041365348</v>
      </c>
      <c r="AJ499" s="89">
        <f t="shared" si="467"/>
        <v>-0.37861439937900254</v>
      </c>
    </row>
    <row r="500" spans="1:36" x14ac:dyDescent="0.3">
      <c r="A500" s="21" t="s">
        <v>919</v>
      </c>
      <c r="B500" s="11" t="s">
        <v>920</v>
      </c>
      <c r="C500" s="12">
        <f t="shared" si="459"/>
        <v>60</v>
      </c>
      <c r="D500" s="41" t="str">
        <f t="shared" si="460"/>
        <v>UN</v>
      </c>
      <c r="E500" s="41">
        <f>ROUND((X500*(1-$M$5))*(1+BDI!$C$21),2)</f>
        <v>388.8</v>
      </c>
      <c r="F500" s="41">
        <f>ROUND((Y500*(1-$N$5))*(1+BDI!$C$21),2)</f>
        <v>128.88999999999999</v>
      </c>
      <c r="G500" s="41">
        <f t="shared" si="451"/>
        <v>517.69000000000005</v>
      </c>
      <c r="H500" s="13">
        <f t="shared" si="461"/>
        <v>23328</v>
      </c>
      <c r="I500" s="13">
        <f t="shared" si="462"/>
        <v>7733.4</v>
      </c>
      <c r="J500" s="14">
        <f t="shared" si="448"/>
        <v>31061.4</v>
      </c>
      <c r="M500" s="54"/>
      <c r="N500" s="56"/>
      <c r="V500" s="74">
        <v>60</v>
      </c>
      <c r="W500" s="74" t="s">
        <v>46</v>
      </c>
      <c r="X500" s="13">
        <v>485.7</v>
      </c>
      <c r="Y500" s="13">
        <v>161.01</v>
      </c>
      <c r="Z500" s="13">
        <f t="shared" si="463"/>
        <v>646.71</v>
      </c>
      <c r="AB500" s="74">
        <v>60</v>
      </c>
      <c r="AC500" s="74" t="s">
        <v>46</v>
      </c>
      <c r="AD500" s="13">
        <v>625.67999999999995</v>
      </c>
      <c r="AE500" s="13">
        <v>207.41</v>
      </c>
      <c r="AF500" s="13">
        <f t="shared" si="464"/>
        <v>833.08999999999992</v>
      </c>
      <c r="AH500" s="89">
        <f t="shared" si="465"/>
        <v>-0.37859608745684692</v>
      </c>
      <c r="AI500" s="89">
        <f t="shared" si="466"/>
        <v>-0.37857383925558075</v>
      </c>
      <c r="AJ500" s="89">
        <f t="shared" si="467"/>
        <v>-0.37859054844014439</v>
      </c>
    </row>
    <row r="501" spans="1:36" x14ac:dyDescent="0.3">
      <c r="A501" s="21" t="s">
        <v>921</v>
      </c>
      <c r="B501" s="11" t="s">
        <v>922</v>
      </c>
      <c r="C501" s="12">
        <f t="shared" si="459"/>
        <v>127</v>
      </c>
      <c r="D501" s="41" t="str">
        <f t="shared" si="460"/>
        <v>UN</v>
      </c>
      <c r="E501" s="41">
        <f>ROUND((X501*(1-$M$5))*(1+BDI!$C$21),2)</f>
        <v>198.99</v>
      </c>
      <c r="F501" s="41">
        <f>ROUND((Y501*(1-$N$5))*(1+BDI!$C$21),2)</f>
        <v>139.03</v>
      </c>
      <c r="G501" s="41">
        <f t="shared" si="451"/>
        <v>338.02</v>
      </c>
      <c r="H501" s="13">
        <f t="shared" si="461"/>
        <v>25271.73</v>
      </c>
      <c r="I501" s="13">
        <f t="shared" si="462"/>
        <v>17656.810000000001</v>
      </c>
      <c r="J501" s="14">
        <f t="shared" si="448"/>
        <v>42928.54</v>
      </c>
      <c r="M501" s="54"/>
      <c r="N501" s="56"/>
      <c r="V501" s="74">
        <v>127</v>
      </c>
      <c r="W501" s="74" t="s">
        <v>46</v>
      </c>
      <c r="X501" s="13">
        <v>248.59</v>
      </c>
      <c r="Y501" s="13">
        <v>173.68</v>
      </c>
      <c r="Z501" s="13">
        <f t="shared" si="463"/>
        <v>422.27</v>
      </c>
      <c r="AB501" s="74">
        <v>127</v>
      </c>
      <c r="AC501" s="74" t="s">
        <v>46</v>
      </c>
      <c r="AD501" s="13">
        <v>320.23</v>
      </c>
      <c r="AE501" s="13">
        <v>223.73</v>
      </c>
      <c r="AF501" s="13">
        <f t="shared" si="464"/>
        <v>543.96</v>
      </c>
      <c r="AH501" s="89">
        <f t="shared" si="465"/>
        <v>-0.37860287918058899</v>
      </c>
      <c r="AI501" s="89">
        <f t="shared" si="466"/>
        <v>-0.37858132570509095</v>
      </c>
      <c r="AJ501" s="89">
        <f t="shared" si="467"/>
        <v>-0.3785940142657549</v>
      </c>
    </row>
    <row r="502" spans="1:36" x14ac:dyDescent="0.3">
      <c r="A502" s="21" t="s">
        <v>923</v>
      </c>
      <c r="B502" s="11" t="s">
        <v>924</v>
      </c>
      <c r="C502" s="12">
        <f t="shared" si="459"/>
        <v>112</v>
      </c>
      <c r="D502" s="41" t="str">
        <f t="shared" si="460"/>
        <v>UN</v>
      </c>
      <c r="E502" s="41">
        <f>ROUND((X502*(1-$M$5))*(1+BDI!$C$21),2)</f>
        <v>261.18</v>
      </c>
      <c r="F502" s="41">
        <f>ROUND((Y502*(1-$N$5))*(1+BDI!$C$21),2)</f>
        <v>90.63</v>
      </c>
      <c r="G502" s="41">
        <f t="shared" si="451"/>
        <v>351.81</v>
      </c>
      <c r="H502" s="13">
        <f t="shared" si="461"/>
        <v>29252.16</v>
      </c>
      <c r="I502" s="13">
        <f t="shared" si="462"/>
        <v>10150.56</v>
      </c>
      <c r="J502" s="14">
        <f t="shared" si="448"/>
        <v>39402.720000000001</v>
      </c>
      <c r="M502" s="54"/>
      <c r="N502" s="56"/>
      <c r="V502" s="74">
        <v>112</v>
      </c>
      <c r="W502" s="74" t="s">
        <v>46</v>
      </c>
      <c r="X502" s="13">
        <v>326.27</v>
      </c>
      <c r="Y502" s="13">
        <v>113.22</v>
      </c>
      <c r="Z502" s="13">
        <f t="shared" si="463"/>
        <v>439.49</v>
      </c>
      <c r="AB502" s="74">
        <v>112</v>
      </c>
      <c r="AC502" s="74" t="s">
        <v>46</v>
      </c>
      <c r="AD502" s="13">
        <v>420.3</v>
      </c>
      <c r="AE502" s="13">
        <v>145.85</v>
      </c>
      <c r="AF502" s="13">
        <f t="shared" si="464"/>
        <v>566.15</v>
      </c>
      <c r="AH502" s="89">
        <f t="shared" si="465"/>
        <v>-0.37858672376873659</v>
      </c>
      <c r="AI502" s="89">
        <f t="shared" si="466"/>
        <v>-0.3786081590675352</v>
      </c>
      <c r="AJ502" s="89">
        <f t="shared" si="467"/>
        <v>-0.37859224587123552</v>
      </c>
    </row>
    <row r="503" spans="1:36" x14ac:dyDescent="0.3">
      <c r="A503" s="21" t="s">
        <v>925</v>
      </c>
      <c r="B503" s="11" t="s">
        <v>926</v>
      </c>
      <c r="C503" s="12">
        <f t="shared" si="459"/>
        <v>39</v>
      </c>
      <c r="D503" s="41" t="str">
        <f t="shared" si="460"/>
        <v>UN</v>
      </c>
      <c r="E503" s="41">
        <f>ROUND((X503*(1-$M$5))*(1+BDI!$C$21),2)</f>
        <v>1.42</v>
      </c>
      <c r="F503" s="41">
        <f>ROUND((Y503*(1-$N$5))*(1+BDI!$C$21),2)</f>
        <v>123.65</v>
      </c>
      <c r="G503" s="41">
        <f t="shared" si="451"/>
        <v>125.07000000000001</v>
      </c>
      <c r="H503" s="13">
        <f t="shared" si="461"/>
        <v>55.379999999999995</v>
      </c>
      <c r="I503" s="13">
        <f t="shared" si="462"/>
        <v>4822.3500000000004</v>
      </c>
      <c r="J503" s="14">
        <f t="shared" si="448"/>
        <v>4877.7300000000005</v>
      </c>
      <c r="M503" s="54"/>
      <c r="N503" s="56"/>
      <c r="V503" s="74">
        <v>39</v>
      </c>
      <c r="W503" s="74" t="s">
        <v>46</v>
      </c>
      <c r="X503" s="13">
        <v>1.78</v>
      </c>
      <c r="Y503" s="13">
        <v>154.47</v>
      </c>
      <c r="Z503" s="13">
        <f t="shared" si="463"/>
        <v>156.25</v>
      </c>
      <c r="AB503" s="74">
        <v>39</v>
      </c>
      <c r="AC503" s="74" t="s">
        <v>46</v>
      </c>
      <c r="AD503" s="13">
        <v>2.29</v>
      </c>
      <c r="AE503" s="13">
        <v>198.99</v>
      </c>
      <c r="AF503" s="13">
        <f t="shared" si="464"/>
        <v>201.28</v>
      </c>
      <c r="AH503" s="89">
        <f t="shared" si="465"/>
        <v>-0.37991266375545851</v>
      </c>
      <c r="AI503" s="89">
        <f t="shared" si="466"/>
        <v>-0.37861199055228911</v>
      </c>
      <c r="AJ503" s="89">
        <f t="shared" si="467"/>
        <v>-0.37862678855325915</v>
      </c>
    </row>
    <row r="504" spans="1:36" x14ac:dyDescent="0.3">
      <c r="A504" s="21" t="s">
        <v>927</v>
      </c>
      <c r="B504" s="11" t="s">
        <v>928</v>
      </c>
      <c r="C504" s="12">
        <f t="shared" si="459"/>
        <v>29</v>
      </c>
      <c r="D504" s="41" t="str">
        <f t="shared" si="460"/>
        <v>UN</v>
      </c>
      <c r="E504" s="41">
        <f>ROUND((X504*(1-$M$5))*(1+BDI!$C$21),2)</f>
        <v>1.87</v>
      </c>
      <c r="F504" s="41">
        <f>ROUND((Y504*(1-$N$5))*(1+BDI!$C$21),2)</f>
        <v>128.97999999999999</v>
      </c>
      <c r="G504" s="41">
        <f t="shared" si="451"/>
        <v>130.85</v>
      </c>
      <c r="H504" s="13">
        <f t="shared" si="461"/>
        <v>54.230000000000004</v>
      </c>
      <c r="I504" s="13">
        <f t="shared" si="462"/>
        <v>3740.4199999999996</v>
      </c>
      <c r="J504" s="14">
        <f t="shared" si="448"/>
        <v>3794.6499999999996</v>
      </c>
      <c r="M504" s="54"/>
      <c r="N504" s="56"/>
      <c r="V504" s="74">
        <v>29</v>
      </c>
      <c r="W504" s="74" t="s">
        <v>46</v>
      </c>
      <c r="X504" s="13">
        <v>2.33</v>
      </c>
      <c r="Y504" s="13">
        <v>161.13</v>
      </c>
      <c r="Z504" s="13">
        <f t="shared" si="463"/>
        <v>163.46</v>
      </c>
      <c r="AB504" s="74">
        <v>29</v>
      </c>
      <c r="AC504" s="74" t="s">
        <v>46</v>
      </c>
      <c r="AD504" s="13">
        <v>3</v>
      </c>
      <c r="AE504" s="13">
        <v>207.57</v>
      </c>
      <c r="AF504" s="13">
        <f t="shared" si="464"/>
        <v>210.57</v>
      </c>
      <c r="AH504" s="89">
        <f t="shared" si="465"/>
        <v>-0.37666666666666659</v>
      </c>
      <c r="AI504" s="89">
        <f t="shared" si="466"/>
        <v>-0.37861926097220222</v>
      </c>
      <c r="AJ504" s="89">
        <f t="shared" si="467"/>
        <v>-0.37859144227572783</v>
      </c>
    </row>
    <row r="505" spans="1:36" x14ac:dyDescent="0.3">
      <c r="A505" s="21" t="s">
        <v>929</v>
      </c>
      <c r="B505" s="11" t="s">
        <v>930</v>
      </c>
      <c r="C505" s="12">
        <f t="shared" si="459"/>
        <v>25</v>
      </c>
      <c r="D505" s="41" t="str">
        <f t="shared" si="460"/>
        <v xml:space="preserve">un </v>
      </c>
      <c r="E505" s="41">
        <f>ROUND((X505*(1-$M$5))*(1+BDI!$C$21),2)</f>
        <v>182.37</v>
      </c>
      <c r="F505" s="41">
        <f>ROUND((Y505*(1-$N$5))*(1+BDI!$C$21),2)</f>
        <v>94.3</v>
      </c>
      <c r="G505" s="41">
        <f t="shared" si="451"/>
        <v>276.67</v>
      </c>
      <c r="H505" s="13">
        <f t="shared" si="461"/>
        <v>4559.25</v>
      </c>
      <c r="I505" s="13">
        <f t="shared" si="462"/>
        <v>2357.5</v>
      </c>
      <c r="J505" s="14">
        <f t="shared" si="448"/>
        <v>6916.75</v>
      </c>
      <c r="M505" s="54"/>
      <c r="N505" s="56"/>
      <c r="V505" s="74">
        <v>25</v>
      </c>
      <c r="W505" s="74" t="s">
        <v>30</v>
      </c>
      <c r="X505" s="13">
        <v>227.82</v>
      </c>
      <c r="Y505" s="13">
        <v>117.8</v>
      </c>
      <c r="Z505" s="13">
        <f t="shared" si="463"/>
        <v>345.62</v>
      </c>
      <c r="AB505" s="74">
        <v>25</v>
      </c>
      <c r="AC505" s="74" t="s">
        <v>30</v>
      </c>
      <c r="AD505" s="13">
        <v>293.48</v>
      </c>
      <c r="AE505" s="13">
        <v>151.75</v>
      </c>
      <c r="AF505" s="13">
        <f t="shared" si="464"/>
        <v>445.23</v>
      </c>
      <c r="AH505" s="89">
        <f t="shared" si="465"/>
        <v>-0.37859479351233472</v>
      </c>
      <c r="AI505" s="89">
        <f t="shared" si="466"/>
        <v>-0.37858319604612856</v>
      </c>
      <c r="AJ505" s="89">
        <f t="shared" si="467"/>
        <v>-0.378590840689082</v>
      </c>
    </row>
    <row r="506" spans="1:36" x14ac:dyDescent="0.3">
      <c r="A506" s="21" t="s">
        <v>931</v>
      </c>
      <c r="B506" s="11" t="s">
        <v>932</v>
      </c>
      <c r="C506" s="12">
        <f t="shared" si="459"/>
        <v>563</v>
      </c>
      <c r="D506" s="41" t="str">
        <f t="shared" si="460"/>
        <v xml:space="preserve">un </v>
      </c>
      <c r="E506" s="41">
        <f>ROUND((X506*(1-$M$5))*(1+BDI!$C$21),2)</f>
        <v>5.61</v>
      </c>
      <c r="F506" s="41">
        <f>ROUND((Y506*(1-$N$5))*(1+BDI!$C$21),2)</f>
        <v>94.3</v>
      </c>
      <c r="G506" s="41">
        <f t="shared" si="451"/>
        <v>99.91</v>
      </c>
      <c r="H506" s="13">
        <f t="shared" si="461"/>
        <v>3158.4300000000003</v>
      </c>
      <c r="I506" s="13">
        <f t="shared" si="462"/>
        <v>53090.9</v>
      </c>
      <c r="J506" s="14">
        <f t="shared" si="448"/>
        <v>56249.329999999994</v>
      </c>
      <c r="M506" s="54"/>
      <c r="N506" s="56"/>
      <c r="V506" s="74">
        <v>563</v>
      </c>
      <c r="W506" s="74" t="s">
        <v>30</v>
      </c>
      <c r="X506" s="13">
        <v>7.01</v>
      </c>
      <c r="Y506" s="13">
        <v>117.8</v>
      </c>
      <c r="Z506" s="13">
        <f t="shared" si="463"/>
        <v>124.81</v>
      </c>
      <c r="AB506" s="74">
        <v>563</v>
      </c>
      <c r="AC506" s="74" t="s">
        <v>30</v>
      </c>
      <c r="AD506" s="13">
        <v>9.0299999999999994</v>
      </c>
      <c r="AE506" s="13">
        <v>151.75</v>
      </c>
      <c r="AF506" s="13">
        <f t="shared" si="464"/>
        <v>160.78</v>
      </c>
      <c r="AH506" s="89">
        <f t="shared" si="465"/>
        <v>-0.37873754152823913</v>
      </c>
      <c r="AI506" s="89">
        <f t="shared" si="466"/>
        <v>-0.37858319604612856</v>
      </c>
      <c r="AJ506" s="89">
        <f t="shared" si="467"/>
        <v>-0.37859186465978356</v>
      </c>
    </row>
    <row r="507" spans="1:36" x14ac:dyDescent="0.3">
      <c r="A507" s="21" t="s">
        <v>933</v>
      </c>
      <c r="B507" s="11" t="s">
        <v>934</v>
      </c>
      <c r="C507" s="12">
        <f t="shared" si="459"/>
        <v>1</v>
      </c>
      <c r="D507" s="41" t="str">
        <f t="shared" si="460"/>
        <v>m²</v>
      </c>
      <c r="E507" s="41">
        <f>ROUND((X507*(1-$M$5))*(1+BDI!$C$21),2)</f>
        <v>690.02</v>
      </c>
      <c r="F507" s="41">
        <f>ROUND((Y507*(1-$N$5))*(1+BDI!$C$21),2)</f>
        <v>94.3</v>
      </c>
      <c r="G507" s="41">
        <f t="shared" si="451"/>
        <v>784.31999999999994</v>
      </c>
      <c r="H507" s="13">
        <f t="shared" si="461"/>
        <v>690.02</v>
      </c>
      <c r="I507" s="13">
        <f t="shared" si="462"/>
        <v>94.3</v>
      </c>
      <c r="J507" s="14">
        <f t="shared" si="448"/>
        <v>784.31999999999994</v>
      </c>
      <c r="M507" s="54"/>
      <c r="N507" s="56"/>
      <c r="V507" s="74">
        <v>1</v>
      </c>
      <c r="W507" s="74" t="s">
        <v>59</v>
      </c>
      <c r="X507" s="13">
        <v>862</v>
      </c>
      <c r="Y507" s="13">
        <v>117.8</v>
      </c>
      <c r="Z507" s="13">
        <f t="shared" si="463"/>
        <v>979.8</v>
      </c>
      <c r="AB507" s="74">
        <v>1</v>
      </c>
      <c r="AC507" s="74" t="s">
        <v>59</v>
      </c>
      <c r="AD507" s="13">
        <v>1110.43</v>
      </c>
      <c r="AE507" s="13">
        <v>151.75</v>
      </c>
      <c r="AF507" s="13">
        <f t="shared" si="464"/>
        <v>1262.18</v>
      </c>
      <c r="AH507" s="89">
        <f t="shared" si="465"/>
        <v>-0.37860108246355018</v>
      </c>
      <c r="AI507" s="89">
        <f t="shared" si="466"/>
        <v>-0.37858319604612856</v>
      </c>
      <c r="AJ507" s="89">
        <f t="shared" si="467"/>
        <v>-0.3785989320065285</v>
      </c>
    </row>
    <row r="508" spans="1:36" x14ac:dyDescent="0.3">
      <c r="A508" s="21" t="s">
        <v>935</v>
      </c>
      <c r="B508" s="11" t="s">
        <v>936</v>
      </c>
      <c r="C508" s="12">
        <f t="shared" si="459"/>
        <v>395</v>
      </c>
      <c r="D508" s="41" t="str">
        <f t="shared" si="460"/>
        <v>m²</v>
      </c>
      <c r="E508" s="41">
        <f>ROUND((X508*(1-$M$5))*(1+BDI!$C$21),2)</f>
        <v>17.670000000000002</v>
      </c>
      <c r="F508" s="41">
        <f>ROUND((Y508*(1-$N$5))*(1+BDI!$C$21),2)</f>
        <v>21.5</v>
      </c>
      <c r="G508" s="41">
        <f t="shared" si="451"/>
        <v>39.17</v>
      </c>
      <c r="H508" s="13">
        <f t="shared" si="461"/>
        <v>6979.6500000000005</v>
      </c>
      <c r="I508" s="13">
        <f t="shared" si="462"/>
        <v>8492.5</v>
      </c>
      <c r="J508" s="14">
        <f t="shared" si="448"/>
        <v>15472.150000000001</v>
      </c>
      <c r="M508" s="54"/>
      <c r="N508" s="56"/>
      <c r="V508" s="74">
        <v>395</v>
      </c>
      <c r="W508" s="74" t="s">
        <v>59</v>
      </c>
      <c r="X508" s="13">
        <v>22.07</v>
      </c>
      <c r="Y508" s="13">
        <v>26.86</v>
      </c>
      <c r="Z508" s="13">
        <f t="shared" si="463"/>
        <v>48.93</v>
      </c>
      <c r="AB508" s="74">
        <v>395</v>
      </c>
      <c r="AC508" s="74" t="s">
        <v>59</v>
      </c>
      <c r="AD508" s="13">
        <v>28.43</v>
      </c>
      <c r="AE508" s="13">
        <v>34.6</v>
      </c>
      <c r="AF508" s="13">
        <f t="shared" si="464"/>
        <v>63.03</v>
      </c>
      <c r="AH508" s="89">
        <f t="shared" si="465"/>
        <v>-0.37847344354555046</v>
      </c>
      <c r="AI508" s="89">
        <f t="shared" si="466"/>
        <v>-0.37861271676300579</v>
      </c>
      <c r="AJ508" s="89">
        <f t="shared" si="467"/>
        <v>-0.37854989687450424</v>
      </c>
    </row>
    <row r="509" spans="1:36" x14ac:dyDescent="0.3">
      <c r="A509" s="21" t="s">
        <v>937</v>
      </c>
      <c r="B509" s="11" t="s">
        <v>938</v>
      </c>
      <c r="C509" s="12">
        <f t="shared" si="459"/>
        <v>185</v>
      </c>
      <c r="D509" s="41" t="str">
        <f t="shared" si="460"/>
        <v xml:space="preserve">un </v>
      </c>
      <c r="E509" s="41">
        <f>ROUND((X509*(1-$M$5))*(1+BDI!$C$21),2)</f>
        <v>100.25</v>
      </c>
      <c r="F509" s="41">
        <f>ROUND((Y509*(1-$N$5))*(1+BDI!$C$21),2)</f>
        <v>44.92</v>
      </c>
      <c r="G509" s="41">
        <f t="shared" si="451"/>
        <v>145.17000000000002</v>
      </c>
      <c r="H509" s="13">
        <f t="shared" si="461"/>
        <v>18546.25</v>
      </c>
      <c r="I509" s="13">
        <f t="shared" si="462"/>
        <v>8310.2000000000007</v>
      </c>
      <c r="J509" s="14">
        <f t="shared" si="448"/>
        <v>26856.450000000004</v>
      </c>
      <c r="M509" s="54"/>
      <c r="N509" s="56"/>
      <c r="V509" s="74">
        <v>185</v>
      </c>
      <c r="W509" s="74" t="s">
        <v>30</v>
      </c>
      <c r="X509" s="13">
        <v>125.23</v>
      </c>
      <c r="Y509" s="13">
        <v>56.12</v>
      </c>
      <c r="Z509" s="13">
        <f t="shared" si="463"/>
        <v>181.35</v>
      </c>
      <c r="AB509" s="74">
        <v>185</v>
      </c>
      <c r="AC509" s="74" t="s">
        <v>30</v>
      </c>
      <c r="AD509" s="13">
        <v>161.32</v>
      </c>
      <c r="AE509" s="13">
        <v>72.290000000000006</v>
      </c>
      <c r="AF509" s="13">
        <f t="shared" si="464"/>
        <v>233.61</v>
      </c>
      <c r="AH509" s="89">
        <f t="shared" si="465"/>
        <v>-0.37856434416067442</v>
      </c>
      <c r="AI509" s="89">
        <f t="shared" si="466"/>
        <v>-0.37861391617097806</v>
      </c>
      <c r="AJ509" s="89">
        <f t="shared" si="467"/>
        <v>-0.378579684088866</v>
      </c>
    </row>
    <row r="510" spans="1:36" x14ac:dyDescent="0.3">
      <c r="A510" s="21" t="s">
        <v>939</v>
      </c>
      <c r="B510" s="11" t="s">
        <v>940</v>
      </c>
      <c r="C510" s="12">
        <f t="shared" si="459"/>
        <v>814</v>
      </c>
      <c r="D510" s="41" t="str">
        <f t="shared" si="460"/>
        <v>UN</v>
      </c>
      <c r="E510" s="41">
        <f>ROUND((X510*(1-$M$5))*(1+BDI!$C$21),2)</f>
        <v>5.88</v>
      </c>
      <c r="F510" s="41">
        <f>ROUND((Y510*(1-$N$5))*(1+BDI!$C$21),2)</f>
        <v>1.57</v>
      </c>
      <c r="G510" s="41">
        <f t="shared" si="451"/>
        <v>7.45</v>
      </c>
      <c r="H510" s="13">
        <f t="shared" si="461"/>
        <v>4786.32</v>
      </c>
      <c r="I510" s="13">
        <f t="shared" si="462"/>
        <v>1277.98</v>
      </c>
      <c r="J510" s="14">
        <f t="shared" si="448"/>
        <v>6064.3</v>
      </c>
      <c r="M510" s="54"/>
      <c r="N510" s="56"/>
      <c r="V510" s="74">
        <v>814</v>
      </c>
      <c r="W510" s="74" t="s">
        <v>46</v>
      </c>
      <c r="X510" s="13">
        <v>7.35</v>
      </c>
      <c r="Y510" s="13">
        <v>1.96</v>
      </c>
      <c r="Z510" s="13">
        <f t="shared" si="463"/>
        <v>9.3099999999999987</v>
      </c>
      <c r="AB510" s="74">
        <v>814</v>
      </c>
      <c r="AC510" s="74" t="s">
        <v>46</v>
      </c>
      <c r="AD510" s="13">
        <v>9.4700000000000006</v>
      </c>
      <c r="AE510" s="13">
        <v>2.52</v>
      </c>
      <c r="AF510" s="13">
        <f t="shared" si="464"/>
        <v>11.99</v>
      </c>
      <c r="AH510" s="89">
        <f t="shared" si="465"/>
        <v>-0.3790918690601901</v>
      </c>
      <c r="AI510" s="89">
        <f t="shared" si="466"/>
        <v>-0.37698412698412698</v>
      </c>
      <c r="AJ510" s="89">
        <f t="shared" si="467"/>
        <v>-0.3786488740617181</v>
      </c>
    </row>
    <row r="511" spans="1:36" x14ac:dyDescent="0.3">
      <c r="A511" s="21" t="s">
        <v>941</v>
      </c>
      <c r="B511" s="11" t="s">
        <v>942</v>
      </c>
      <c r="C511" s="12">
        <f t="shared" si="459"/>
        <v>13</v>
      </c>
      <c r="D511" s="41" t="str">
        <f t="shared" si="460"/>
        <v xml:space="preserve">un </v>
      </c>
      <c r="E511" s="41">
        <f>ROUND((X511*(1-$M$5))*(1+BDI!$C$21),2)</f>
        <v>9.3800000000000008</v>
      </c>
      <c r="F511" s="41">
        <f>ROUND((Y511*(1-$N$5))*(1+BDI!$C$21),2)</f>
        <v>4.62</v>
      </c>
      <c r="G511" s="41">
        <f t="shared" ref="G511:G522" si="468">F511+E511</f>
        <v>14</v>
      </c>
      <c r="H511" s="13">
        <f t="shared" ref="H511:H522" si="469">C511*E511</f>
        <v>121.94000000000001</v>
      </c>
      <c r="I511" s="13">
        <f t="shared" ref="I511:I522" si="470">C511*F511</f>
        <v>60.06</v>
      </c>
      <c r="J511" s="14">
        <f t="shared" ref="J511:J522" si="471">SUM(E511:F511)*C511</f>
        <v>182</v>
      </c>
      <c r="M511" s="54"/>
      <c r="N511" s="56"/>
      <c r="V511" s="74">
        <v>13</v>
      </c>
      <c r="W511" s="74" t="s">
        <v>30</v>
      </c>
      <c r="X511" s="13">
        <v>11.72</v>
      </c>
      <c r="Y511" s="13">
        <v>5.77</v>
      </c>
      <c r="Z511" s="13">
        <f t="shared" ref="Z511:Z522" si="472">SUM(X511:Y511)</f>
        <v>17.490000000000002</v>
      </c>
      <c r="AB511" s="74">
        <v>13</v>
      </c>
      <c r="AC511" s="74" t="s">
        <v>30</v>
      </c>
      <c r="AD511" s="13">
        <v>15.1</v>
      </c>
      <c r="AE511" s="13">
        <v>7.43</v>
      </c>
      <c r="AF511" s="13">
        <f t="shared" ref="AF511:AF525" si="473">SUM(AD511:AE511)</f>
        <v>22.53</v>
      </c>
      <c r="AH511" s="89">
        <f t="shared" si="465"/>
        <v>-0.37880794701986753</v>
      </c>
      <c r="AI511" s="89">
        <f t="shared" si="466"/>
        <v>-0.37819650067294752</v>
      </c>
      <c r="AJ511" s="89">
        <f t="shared" si="467"/>
        <v>-0.37860630270750117</v>
      </c>
    </row>
    <row r="512" spans="1:36" x14ac:dyDescent="0.3">
      <c r="A512" s="21" t="s">
        <v>943</v>
      </c>
      <c r="B512" s="11" t="s">
        <v>944</v>
      </c>
      <c r="C512" s="12">
        <f t="shared" si="459"/>
        <v>1</v>
      </c>
      <c r="D512" s="41" t="str">
        <f t="shared" si="460"/>
        <v xml:space="preserve">un </v>
      </c>
      <c r="E512" s="41">
        <f>ROUND((X512*(1-$M$5))*(1+BDI!$C$21),2)</f>
        <v>10.08</v>
      </c>
      <c r="F512" s="41">
        <f>ROUND((Y512*(1-$N$5))*(1+BDI!$C$21),2)</f>
        <v>4.62</v>
      </c>
      <c r="G512" s="41">
        <f t="shared" ref="G512:G520" si="474">F512+E512</f>
        <v>14.7</v>
      </c>
      <c r="H512" s="13">
        <f t="shared" ref="H512:H520" si="475">C512*E512</f>
        <v>10.08</v>
      </c>
      <c r="I512" s="13">
        <f t="shared" ref="I512:I520" si="476">C512*F512</f>
        <v>4.62</v>
      </c>
      <c r="J512" s="14">
        <f t="shared" ref="J512:J520" si="477">SUM(E512:F512)*C512</f>
        <v>14.7</v>
      </c>
      <c r="M512" s="54"/>
      <c r="N512" s="56"/>
      <c r="V512" s="74">
        <v>1</v>
      </c>
      <c r="W512" s="74" t="s">
        <v>30</v>
      </c>
      <c r="X512" s="13">
        <v>12.59</v>
      </c>
      <c r="Y512" s="13">
        <v>5.77</v>
      </c>
      <c r="Z512" s="13">
        <f t="shared" ref="Z512:Z520" si="478">SUM(X512:Y512)</f>
        <v>18.36</v>
      </c>
      <c r="AB512" s="74">
        <v>1</v>
      </c>
      <c r="AC512" s="74" t="s">
        <v>30</v>
      </c>
      <c r="AD512" s="13">
        <v>16.22</v>
      </c>
      <c r="AE512" s="13">
        <v>7.43</v>
      </c>
      <c r="AF512" s="13">
        <f t="shared" si="473"/>
        <v>23.65</v>
      </c>
      <c r="AH512" s="89">
        <f t="shared" si="465"/>
        <v>-0.37854500616522802</v>
      </c>
      <c r="AI512" s="89">
        <f t="shared" si="466"/>
        <v>-0.37819650067294752</v>
      </c>
      <c r="AJ512" s="89">
        <f t="shared" si="467"/>
        <v>-0.37843551797040165</v>
      </c>
    </row>
    <row r="513" spans="1:36" x14ac:dyDescent="0.3">
      <c r="A513" s="21" t="s">
        <v>945</v>
      </c>
      <c r="B513" s="11" t="s">
        <v>946</v>
      </c>
      <c r="C513" s="12">
        <f t="shared" si="459"/>
        <v>11</v>
      </c>
      <c r="D513" s="41" t="str">
        <f t="shared" si="460"/>
        <v>m</v>
      </c>
      <c r="E513" s="41">
        <f>ROUND((X513*(1-$M$5))*(1+BDI!$C$21),2)</f>
        <v>101.18</v>
      </c>
      <c r="F513" s="41">
        <f>ROUND((Y513*(1-$N$5))*(1+BDI!$C$21),2)</f>
        <v>70.09</v>
      </c>
      <c r="G513" s="41">
        <f t="shared" si="474"/>
        <v>171.27</v>
      </c>
      <c r="H513" s="13">
        <f t="shared" si="475"/>
        <v>1112.98</v>
      </c>
      <c r="I513" s="13">
        <f t="shared" si="476"/>
        <v>770.99</v>
      </c>
      <c r="J513" s="14">
        <f t="shared" si="477"/>
        <v>1883.97</v>
      </c>
      <c r="M513" s="54"/>
      <c r="N513" s="56"/>
      <c r="V513" s="74">
        <v>11</v>
      </c>
      <c r="W513" s="74" t="s">
        <v>75</v>
      </c>
      <c r="X513" s="13">
        <v>126.4</v>
      </c>
      <c r="Y513" s="13">
        <v>87.56</v>
      </c>
      <c r="Z513" s="13">
        <f t="shared" si="478"/>
        <v>213.96</v>
      </c>
      <c r="AB513" s="74">
        <v>11</v>
      </c>
      <c r="AC513" s="74" t="s">
        <v>75</v>
      </c>
      <c r="AD513" s="13">
        <v>162.83000000000001</v>
      </c>
      <c r="AE513" s="13">
        <v>112.79</v>
      </c>
      <c r="AF513" s="13">
        <f t="shared" si="473"/>
        <v>275.62</v>
      </c>
      <c r="AH513" s="89">
        <f t="shared" si="465"/>
        <v>-0.37861573420131422</v>
      </c>
      <c r="AI513" s="89">
        <f t="shared" si="466"/>
        <v>-0.37857966131749266</v>
      </c>
      <c r="AJ513" s="89">
        <f t="shared" si="467"/>
        <v>-0.37860097235323997</v>
      </c>
    </row>
    <row r="514" spans="1:36" x14ac:dyDescent="0.3">
      <c r="A514" s="21" t="s">
        <v>947</v>
      </c>
      <c r="B514" s="11" t="s">
        <v>948</v>
      </c>
      <c r="C514" s="12">
        <f t="shared" si="459"/>
        <v>1</v>
      </c>
      <c r="D514" s="41" t="str">
        <f t="shared" si="460"/>
        <v>un</v>
      </c>
      <c r="E514" s="41">
        <f>ROUND((X514*(1-$M$5))*(1+BDI!$C$21),2)</f>
        <v>14.06</v>
      </c>
      <c r="F514" s="41">
        <f>ROUND((Y514*(1-$N$5))*(1+BDI!$C$21),2)</f>
        <v>3.96</v>
      </c>
      <c r="G514" s="41">
        <f t="shared" si="474"/>
        <v>18.02</v>
      </c>
      <c r="H514" s="13">
        <f t="shared" si="475"/>
        <v>14.06</v>
      </c>
      <c r="I514" s="13">
        <f t="shared" si="476"/>
        <v>3.96</v>
      </c>
      <c r="J514" s="14">
        <f t="shared" si="477"/>
        <v>18.02</v>
      </c>
      <c r="M514" s="54"/>
      <c r="N514" s="56"/>
      <c r="V514" s="74">
        <v>1</v>
      </c>
      <c r="W514" s="74" t="s">
        <v>109</v>
      </c>
      <c r="X514" s="13">
        <v>17.57</v>
      </c>
      <c r="Y514" s="13">
        <v>4.95</v>
      </c>
      <c r="Z514" s="13">
        <f t="shared" si="478"/>
        <v>22.52</v>
      </c>
      <c r="AB514" s="74">
        <v>1</v>
      </c>
      <c r="AC514" s="74" t="s">
        <v>109</v>
      </c>
      <c r="AD514" s="13">
        <v>22.63</v>
      </c>
      <c r="AE514" s="13">
        <v>6.38</v>
      </c>
      <c r="AF514" s="13">
        <f t="shared" si="473"/>
        <v>29.009999999999998</v>
      </c>
      <c r="AH514" s="89">
        <f t="shared" si="465"/>
        <v>-0.37870083959346001</v>
      </c>
      <c r="AI514" s="89">
        <f t="shared" si="466"/>
        <v>-0.37931034482758619</v>
      </c>
      <c r="AJ514" s="89">
        <f t="shared" si="467"/>
        <v>-0.37883488452257841</v>
      </c>
    </row>
    <row r="515" spans="1:36" x14ac:dyDescent="0.3">
      <c r="A515" s="21" t="s">
        <v>949</v>
      </c>
      <c r="B515" s="11" t="s">
        <v>950</v>
      </c>
      <c r="C515" s="12">
        <f t="shared" si="459"/>
        <v>1</v>
      </c>
      <c r="D515" s="41" t="str">
        <f t="shared" si="460"/>
        <v>H</v>
      </c>
      <c r="E515" s="41">
        <f>ROUND((X515*(1-$M$5))*(1+BDI!$C$21),2)</f>
        <v>222.86</v>
      </c>
      <c r="F515" s="41">
        <f>ROUND((Y515*(1-$N$5))*(1+BDI!$C$21),2)</f>
        <v>22.01</v>
      </c>
      <c r="G515" s="41">
        <f t="shared" si="474"/>
        <v>244.87</v>
      </c>
      <c r="H515" s="13">
        <f t="shared" si="475"/>
        <v>222.86</v>
      </c>
      <c r="I515" s="13">
        <f t="shared" si="476"/>
        <v>22.01</v>
      </c>
      <c r="J515" s="14">
        <f t="shared" si="477"/>
        <v>244.87</v>
      </c>
      <c r="M515" s="54"/>
      <c r="N515" s="56"/>
      <c r="V515" s="74">
        <v>1</v>
      </c>
      <c r="W515" s="74" t="s">
        <v>747</v>
      </c>
      <c r="X515" s="13">
        <v>278.39999999999998</v>
      </c>
      <c r="Y515" s="13">
        <v>27.49</v>
      </c>
      <c r="Z515" s="13">
        <f t="shared" si="478"/>
        <v>305.89</v>
      </c>
      <c r="AB515" s="74">
        <v>1</v>
      </c>
      <c r="AC515" s="74" t="s">
        <v>747</v>
      </c>
      <c r="AD515" s="13">
        <v>358.63</v>
      </c>
      <c r="AE515" s="13">
        <v>35.409999999999997</v>
      </c>
      <c r="AF515" s="13">
        <f t="shared" si="473"/>
        <v>394.03999999999996</v>
      </c>
      <c r="AH515" s="89">
        <f t="shared" si="465"/>
        <v>-0.37857959456821788</v>
      </c>
      <c r="AI515" s="89">
        <f t="shared" si="466"/>
        <v>-0.37842417396215744</v>
      </c>
      <c r="AJ515" s="89">
        <f t="shared" si="467"/>
        <v>-0.37856562785504</v>
      </c>
    </row>
    <row r="516" spans="1:36" x14ac:dyDescent="0.3">
      <c r="A516" s="21" t="s">
        <v>951</v>
      </c>
      <c r="B516" s="11" t="s">
        <v>952</v>
      </c>
      <c r="C516" s="12">
        <f t="shared" si="459"/>
        <v>1</v>
      </c>
      <c r="D516" s="41" t="str">
        <f t="shared" si="460"/>
        <v>un</v>
      </c>
      <c r="E516" s="41">
        <f>ROUND((X516*(1-$M$5))*(1+BDI!$C$21),2)</f>
        <v>1529.36</v>
      </c>
      <c r="F516" s="41">
        <f>ROUND((Y516*(1-$N$5))*(1+BDI!$C$21),2)</f>
        <v>242.55</v>
      </c>
      <c r="G516" s="41">
        <f t="shared" si="474"/>
        <v>1771.9099999999999</v>
      </c>
      <c r="H516" s="13">
        <f t="shared" si="475"/>
        <v>1529.36</v>
      </c>
      <c r="I516" s="13">
        <f t="shared" si="476"/>
        <v>242.55</v>
      </c>
      <c r="J516" s="14">
        <f t="shared" si="477"/>
        <v>1771.9099999999999</v>
      </c>
      <c r="M516" s="54"/>
      <c r="N516" s="56"/>
      <c r="V516" s="74">
        <v>1</v>
      </c>
      <c r="W516" s="74" t="s">
        <v>109</v>
      </c>
      <c r="X516" s="13">
        <v>1910.53</v>
      </c>
      <c r="Y516" s="13">
        <v>303</v>
      </c>
      <c r="Z516" s="13">
        <f t="shared" si="478"/>
        <v>2213.5299999999997</v>
      </c>
      <c r="AB516" s="74">
        <v>1</v>
      </c>
      <c r="AC516" s="74" t="s">
        <v>109</v>
      </c>
      <c r="AD516" s="13">
        <v>2461.14</v>
      </c>
      <c r="AE516" s="13">
        <v>390.32</v>
      </c>
      <c r="AF516" s="13">
        <f t="shared" si="473"/>
        <v>2851.46</v>
      </c>
      <c r="AH516" s="89">
        <f t="shared" si="465"/>
        <v>-0.37859691037486698</v>
      </c>
      <c r="AI516" s="89">
        <f t="shared" si="466"/>
        <v>-0.37858680057388805</v>
      </c>
      <c r="AJ516" s="89">
        <f t="shared" si="467"/>
        <v>-0.37859552650221295</v>
      </c>
    </row>
    <row r="517" spans="1:36" x14ac:dyDescent="0.3">
      <c r="A517" s="21" t="s">
        <v>953</v>
      </c>
      <c r="B517" s="11" t="s">
        <v>954</v>
      </c>
      <c r="C517" s="12">
        <f t="shared" si="459"/>
        <v>1</v>
      </c>
      <c r="D517" s="41" t="str">
        <f t="shared" si="460"/>
        <v>un</v>
      </c>
      <c r="E517" s="41">
        <f>ROUND((X517*(1-$M$5))*(1+BDI!$C$21),2)</f>
        <v>1226.5899999999999</v>
      </c>
      <c r="F517" s="41">
        <f>ROUND((Y517*(1-$N$5))*(1+BDI!$C$21),2)</f>
        <v>242.55</v>
      </c>
      <c r="G517" s="41">
        <f t="shared" si="474"/>
        <v>1469.1399999999999</v>
      </c>
      <c r="H517" s="13">
        <f t="shared" si="475"/>
        <v>1226.5899999999999</v>
      </c>
      <c r="I517" s="13">
        <f t="shared" si="476"/>
        <v>242.55</v>
      </c>
      <c r="J517" s="14">
        <f t="shared" si="477"/>
        <v>1469.1399999999999</v>
      </c>
      <c r="M517" s="54"/>
      <c r="N517" s="56"/>
      <c r="V517" s="74">
        <v>1</v>
      </c>
      <c r="W517" s="74" t="s">
        <v>109</v>
      </c>
      <c r="X517" s="13">
        <v>1532.31</v>
      </c>
      <c r="Y517" s="13">
        <v>303</v>
      </c>
      <c r="Z517" s="13">
        <f t="shared" si="478"/>
        <v>1835.31</v>
      </c>
      <c r="AB517" s="74">
        <v>1</v>
      </c>
      <c r="AC517" s="74" t="s">
        <v>109</v>
      </c>
      <c r="AD517" s="13">
        <v>1973.92</v>
      </c>
      <c r="AE517" s="13">
        <v>390.32</v>
      </c>
      <c r="AF517" s="13">
        <f t="shared" si="473"/>
        <v>2364.2400000000002</v>
      </c>
      <c r="AH517" s="89">
        <f t="shared" si="465"/>
        <v>-0.3786019696846884</v>
      </c>
      <c r="AI517" s="89">
        <f t="shared" si="466"/>
        <v>-0.37858680057388805</v>
      </c>
      <c r="AJ517" s="89">
        <f t="shared" si="467"/>
        <v>-0.37859946536730626</v>
      </c>
    </row>
    <row r="518" spans="1:36" x14ac:dyDescent="0.3">
      <c r="A518" s="21" t="s">
        <v>955</v>
      </c>
      <c r="B518" s="11" t="s">
        <v>956</v>
      </c>
      <c r="C518" s="12">
        <f t="shared" si="459"/>
        <v>1</v>
      </c>
      <c r="D518" s="41" t="str">
        <f t="shared" si="460"/>
        <v>un</v>
      </c>
      <c r="E518" s="41">
        <f>ROUND((X518*(1-$M$5))*(1+BDI!$C$21),2)</f>
        <v>2565.56</v>
      </c>
      <c r="F518" s="41">
        <f>ROUND((Y518*(1-$N$5))*(1+BDI!$C$21),2)</f>
        <v>965.59</v>
      </c>
      <c r="G518" s="41">
        <f t="shared" si="474"/>
        <v>3531.15</v>
      </c>
      <c r="H518" s="13">
        <f t="shared" si="475"/>
        <v>2565.56</v>
      </c>
      <c r="I518" s="13">
        <f t="shared" si="476"/>
        <v>965.59</v>
      </c>
      <c r="J518" s="14">
        <f t="shared" si="477"/>
        <v>3531.15</v>
      </c>
      <c r="M518" s="54"/>
      <c r="N518" s="56"/>
      <c r="V518" s="74">
        <v>1</v>
      </c>
      <c r="W518" s="74" t="s">
        <v>109</v>
      </c>
      <c r="X518" s="13">
        <v>3205</v>
      </c>
      <c r="Y518" s="13">
        <v>1206.25</v>
      </c>
      <c r="Z518" s="13">
        <f t="shared" si="478"/>
        <v>4411.25</v>
      </c>
      <c r="AB518" s="74">
        <v>1</v>
      </c>
      <c r="AC518" s="74" t="s">
        <v>109</v>
      </c>
      <c r="AD518" s="13">
        <v>4128.68</v>
      </c>
      <c r="AE518" s="13">
        <v>1553.89</v>
      </c>
      <c r="AF518" s="13">
        <f t="shared" si="473"/>
        <v>5682.5700000000006</v>
      </c>
      <c r="AH518" s="89">
        <f t="shared" si="465"/>
        <v>-0.37860042434870234</v>
      </c>
      <c r="AI518" s="89">
        <f t="shared" si="466"/>
        <v>-0.3785982276737736</v>
      </c>
      <c r="AJ518" s="89">
        <f t="shared" si="467"/>
        <v>-0.37859982367133183</v>
      </c>
    </row>
    <row r="519" spans="1:36" x14ac:dyDescent="0.3">
      <c r="A519" s="21" t="s">
        <v>957</v>
      </c>
      <c r="B519" s="11" t="s">
        <v>958</v>
      </c>
      <c r="C519" s="12">
        <f t="shared" si="459"/>
        <v>1</v>
      </c>
      <c r="D519" s="41" t="str">
        <f t="shared" si="460"/>
        <v>un</v>
      </c>
      <c r="E519" s="41">
        <f>ROUND((X519*(1-$M$5))*(1+BDI!$C$21),2)</f>
        <v>1722.83</v>
      </c>
      <c r="F519" s="41">
        <f>ROUND((Y519*(1-$N$5))*(1+BDI!$C$21),2)</f>
        <v>643.73</v>
      </c>
      <c r="G519" s="41">
        <f t="shared" si="474"/>
        <v>2366.56</v>
      </c>
      <c r="H519" s="13">
        <f t="shared" si="475"/>
        <v>1722.83</v>
      </c>
      <c r="I519" s="13">
        <f t="shared" si="476"/>
        <v>643.73</v>
      </c>
      <c r="J519" s="14">
        <f t="shared" si="477"/>
        <v>2366.56</v>
      </c>
      <c r="M519" s="54"/>
      <c r="N519" s="56"/>
      <c r="V519" s="74">
        <v>1</v>
      </c>
      <c r="W519" s="74" t="s">
        <v>109</v>
      </c>
      <c r="X519" s="13">
        <v>2152.23</v>
      </c>
      <c r="Y519" s="13">
        <v>804.17</v>
      </c>
      <c r="Z519" s="13">
        <f t="shared" si="478"/>
        <v>2956.4</v>
      </c>
      <c r="AB519" s="74">
        <v>1</v>
      </c>
      <c r="AC519" s="74" t="s">
        <v>109</v>
      </c>
      <c r="AD519" s="13">
        <v>2772.5</v>
      </c>
      <c r="AE519" s="13">
        <v>1035.93</v>
      </c>
      <c r="AF519" s="13">
        <f t="shared" si="473"/>
        <v>3808.4300000000003</v>
      </c>
      <c r="AH519" s="89">
        <f t="shared" si="465"/>
        <v>-0.37860054102795315</v>
      </c>
      <c r="AI519" s="89">
        <f t="shared" si="466"/>
        <v>-0.3785970094504455</v>
      </c>
      <c r="AJ519" s="89">
        <f t="shared" si="467"/>
        <v>-0.37859958040452368</v>
      </c>
    </row>
    <row r="520" spans="1:36" x14ac:dyDescent="0.3">
      <c r="A520" s="21" t="s">
        <v>959</v>
      </c>
      <c r="B520" s="11" t="s">
        <v>960</v>
      </c>
      <c r="C520" s="12">
        <f t="shared" si="459"/>
        <v>1</v>
      </c>
      <c r="D520" s="41" t="str">
        <f t="shared" si="460"/>
        <v>un</v>
      </c>
      <c r="E520" s="41">
        <f>ROUND((X520*(1-$M$5))*(1+BDI!$C$21),2)</f>
        <v>3621.29</v>
      </c>
      <c r="F520" s="41">
        <f>ROUND((Y520*(1-$N$5))*(1+BDI!$C$21),2)</f>
        <v>536.92999999999995</v>
      </c>
      <c r="G520" s="41">
        <f t="shared" si="474"/>
        <v>4158.22</v>
      </c>
      <c r="H520" s="13">
        <f t="shared" si="475"/>
        <v>3621.29</v>
      </c>
      <c r="I520" s="13">
        <f t="shared" si="476"/>
        <v>536.92999999999995</v>
      </c>
      <c r="J520" s="14">
        <f t="shared" si="477"/>
        <v>4158.22</v>
      </c>
      <c r="M520" s="54"/>
      <c r="N520" s="56"/>
      <c r="V520" s="74">
        <v>1</v>
      </c>
      <c r="W520" s="74" t="s">
        <v>109</v>
      </c>
      <c r="X520" s="13">
        <v>4523.8500000000004</v>
      </c>
      <c r="Y520" s="13">
        <v>670.76</v>
      </c>
      <c r="Z520" s="13">
        <f t="shared" si="478"/>
        <v>5194.6100000000006</v>
      </c>
      <c r="AB520" s="74">
        <v>1</v>
      </c>
      <c r="AC520" s="74" t="s">
        <v>109</v>
      </c>
      <c r="AD520" s="13">
        <v>5827.62</v>
      </c>
      <c r="AE520" s="13">
        <v>864.07</v>
      </c>
      <c r="AF520" s="13">
        <f t="shared" si="473"/>
        <v>6691.69</v>
      </c>
      <c r="AH520" s="89">
        <f t="shared" si="465"/>
        <v>-0.37859881049210486</v>
      </c>
      <c r="AI520" s="89">
        <f t="shared" si="466"/>
        <v>-0.37860358535766792</v>
      </c>
      <c r="AJ520" s="89">
        <f t="shared" si="467"/>
        <v>-0.3785994270505656</v>
      </c>
    </row>
    <row r="521" spans="1:36" x14ac:dyDescent="0.3">
      <c r="A521" s="21" t="s">
        <v>961</v>
      </c>
      <c r="B521" s="11" t="s">
        <v>962</v>
      </c>
      <c r="C521" s="12">
        <f t="shared" si="459"/>
        <v>1</v>
      </c>
      <c r="D521" s="41" t="str">
        <f t="shared" si="460"/>
        <v>un</v>
      </c>
      <c r="E521" s="41">
        <f>ROUND((X521*(1-$M$5))*(1+BDI!$C$21),2)</f>
        <v>4661.47</v>
      </c>
      <c r="F521" s="41">
        <f>ROUND((Y521*(1-$N$5))*(1+BDI!$C$21),2)</f>
        <v>1239.8499999999999</v>
      </c>
      <c r="G521" s="41">
        <f t="shared" si="468"/>
        <v>5901.32</v>
      </c>
      <c r="H521" s="13">
        <f t="shared" si="469"/>
        <v>4661.47</v>
      </c>
      <c r="I521" s="13">
        <f t="shared" si="470"/>
        <v>1239.8499999999999</v>
      </c>
      <c r="J521" s="14">
        <f t="shared" si="471"/>
        <v>5901.32</v>
      </c>
      <c r="M521" s="54"/>
      <c r="N521" s="56"/>
      <c r="V521" s="74">
        <v>1</v>
      </c>
      <c r="W521" s="74" t="s">
        <v>109</v>
      </c>
      <c r="X521" s="13">
        <v>5823.29</v>
      </c>
      <c r="Y521" s="13">
        <v>1548.87</v>
      </c>
      <c r="Z521" s="13">
        <f t="shared" si="472"/>
        <v>7372.16</v>
      </c>
      <c r="AB521" s="74">
        <v>1</v>
      </c>
      <c r="AC521" s="74" t="s">
        <v>109</v>
      </c>
      <c r="AD521" s="13">
        <v>7501.56</v>
      </c>
      <c r="AE521" s="13">
        <v>1995.25</v>
      </c>
      <c r="AF521" s="13">
        <f t="shared" si="473"/>
        <v>9496.8100000000013</v>
      </c>
      <c r="AH521" s="89">
        <f t="shared" si="465"/>
        <v>-0.37859991788374681</v>
      </c>
      <c r="AI521" s="89">
        <f t="shared" si="466"/>
        <v>-0.37859917303596047</v>
      </c>
      <c r="AJ521" s="89">
        <f t="shared" si="467"/>
        <v>-0.37859976139356277</v>
      </c>
    </row>
    <row r="522" spans="1:36" x14ac:dyDescent="0.3">
      <c r="A522" s="21" t="s">
        <v>963</v>
      </c>
      <c r="B522" s="11" t="s">
        <v>964</v>
      </c>
      <c r="C522" s="12">
        <f t="shared" si="459"/>
        <v>1</v>
      </c>
      <c r="D522" s="41" t="str">
        <f t="shared" si="460"/>
        <v>un</v>
      </c>
      <c r="E522" s="41">
        <f>ROUND((X522*(1-$M$5))*(1+BDI!$C$21),2)</f>
        <v>5451.67</v>
      </c>
      <c r="F522" s="41">
        <f>ROUND((Y522*(1-$N$5))*(1+BDI!$C$21),2)</f>
        <v>2066.8000000000002</v>
      </c>
      <c r="G522" s="41">
        <f t="shared" si="468"/>
        <v>7518.47</v>
      </c>
      <c r="H522" s="13">
        <f t="shared" si="469"/>
        <v>5451.67</v>
      </c>
      <c r="I522" s="13">
        <f t="shared" si="470"/>
        <v>2066.8000000000002</v>
      </c>
      <c r="J522" s="14">
        <f t="shared" si="471"/>
        <v>7518.47</v>
      </c>
      <c r="M522" s="54"/>
      <c r="N522" s="56"/>
      <c r="V522" s="74">
        <v>1</v>
      </c>
      <c r="W522" s="74" t="s">
        <v>109</v>
      </c>
      <c r="X522" s="13">
        <v>6810.44</v>
      </c>
      <c r="Y522" s="13">
        <v>2581.9299999999998</v>
      </c>
      <c r="Z522" s="13">
        <f t="shared" si="472"/>
        <v>9392.369999999999</v>
      </c>
      <c r="AB522" s="74">
        <v>1</v>
      </c>
      <c r="AC522" s="74" t="s">
        <v>109</v>
      </c>
      <c r="AD522" s="13">
        <v>8773.2099999999991</v>
      </c>
      <c r="AE522" s="13">
        <v>3326.04</v>
      </c>
      <c r="AF522" s="13">
        <f t="shared" si="473"/>
        <v>12099.25</v>
      </c>
      <c r="AH522" s="89">
        <f t="shared" si="465"/>
        <v>-0.37860030707118597</v>
      </c>
      <c r="AI522" s="89">
        <f t="shared" si="466"/>
        <v>-0.37860037762624621</v>
      </c>
      <c r="AJ522" s="89">
        <f t="shared" si="467"/>
        <v>-0.37860032646651653</v>
      </c>
    </row>
    <row r="523" spans="1:36" x14ac:dyDescent="0.3">
      <c r="A523" s="21" t="s">
        <v>965</v>
      </c>
      <c r="B523" s="11" t="s">
        <v>966</v>
      </c>
      <c r="C523" s="12">
        <f t="shared" si="459"/>
        <v>1</v>
      </c>
      <c r="D523" s="41" t="str">
        <f t="shared" si="460"/>
        <v>un</v>
      </c>
      <c r="E523" s="41">
        <f>ROUND((X523*(1-$M$5))*(1+BDI!$C$21),2)</f>
        <v>7072.41</v>
      </c>
      <c r="F523" s="41">
        <f>ROUND((Y523*(1-$N$5))*(1+BDI!$C$21),2)</f>
        <v>2096.0300000000002</v>
      </c>
      <c r="G523" s="41">
        <f t="shared" ref="G523:G527" si="479">F523+E523</f>
        <v>9168.44</v>
      </c>
      <c r="H523" s="13">
        <f t="shared" ref="H523:H527" si="480">C523*E523</f>
        <v>7072.41</v>
      </c>
      <c r="I523" s="13">
        <f t="shared" ref="I523:I527" si="481">C523*F523</f>
        <v>2096.0300000000002</v>
      </c>
      <c r="J523" s="14">
        <f t="shared" ref="J523:J527" si="482">SUM(E523:F523)*C523</f>
        <v>9168.44</v>
      </c>
      <c r="M523" s="54"/>
      <c r="N523" s="56"/>
      <c r="V523" s="74">
        <v>1</v>
      </c>
      <c r="W523" s="74" t="s">
        <v>109</v>
      </c>
      <c r="X523" s="13">
        <v>8835.1299999999992</v>
      </c>
      <c r="Y523" s="13">
        <v>2618.44</v>
      </c>
      <c r="Z523" s="13">
        <f t="shared" ref="Z523:Z527" si="483">SUM(X523:Y523)</f>
        <v>11453.57</v>
      </c>
      <c r="AB523" s="74">
        <v>1</v>
      </c>
      <c r="AC523" s="74" t="s">
        <v>109</v>
      </c>
      <c r="AD523" s="13">
        <v>11381.41</v>
      </c>
      <c r="AE523" s="13">
        <v>3373.07</v>
      </c>
      <c r="AF523" s="13">
        <f t="shared" si="473"/>
        <v>14754.48</v>
      </c>
      <c r="AH523" s="89">
        <f t="shared" si="465"/>
        <v>-0.37859983956293641</v>
      </c>
      <c r="AI523" s="89">
        <f t="shared" si="466"/>
        <v>-0.37859872460399568</v>
      </c>
      <c r="AJ523" s="89">
        <f t="shared" si="467"/>
        <v>-0.37859958466852095</v>
      </c>
    </row>
    <row r="524" spans="1:36" x14ac:dyDescent="0.3">
      <c r="A524" s="21" t="s">
        <v>967</v>
      </c>
      <c r="B524" s="11" t="s">
        <v>968</v>
      </c>
      <c r="C524" s="12">
        <f t="shared" si="459"/>
        <v>1</v>
      </c>
      <c r="D524" s="41" t="str">
        <f t="shared" si="460"/>
        <v>un</v>
      </c>
      <c r="E524" s="41">
        <f>ROUND((X524*(1-$M$5))*(1+BDI!$C$21),2)</f>
        <v>4544.63</v>
      </c>
      <c r="F524" s="41">
        <f>ROUND((Y524*(1-$N$5))*(1+BDI!$C$21),2)</f>
        <v>1583.57</v>
      </c>
      <c r="G524" s="41">
        <f t="shared" si="479"/>
        <v>6128.2</v>
      </c>
      <c r="H524" s="13">
        <f t="shared" si="480"/>
        <v>4544.63</v>
      </c>
      <c r="I524" s="13">
        <f t="shared" si="481"/>
        <v>1583.57</v>
      </c>
      <c r="J524" s="14">
        <f t="shared" si="482"/>
        <v>6128.2</v>
      </c>
      <c r="M524" s="54"/>
      <c r="N524" s="56"/>
      <c r="V524" s="74">
        <v>1</v>
      </c>
      <c r="W524" s="74" t="s">
        <v>109</v>
      </c>
      <c r="X524" s="13">
        <v>5677.33</v>
      </c>
      <c r="Y524" s="13">
        <v>1978.26</v>
      </c>
      <c r="Z524" s="13">
        <f t="shared" si="483"/>
        <v>7655.59</v>
      </c>
      <c r="AB524" s="74">
        <v>1</v>
      </c>
      <c r="AC524" s="74" t="s">
        <v>109</v>
      </c>
      <c r="AD524" s="13">
        <v>7313.54</v>
      </c>
      <c r="AE524" s="13">
        <v>2548.39</v>
      </c>
      <c r="AF524" s="13">
        <f t="shared" si="473"/>
        <v>9861.93</v>
      </c>
      <c r="AH524" s="89">
        <f t="shared" si="465"/>
        <v>-0.37860051356798485</v>
      </c>
      <c r="AI524" s="89">
        <f t="shared" si="466"/>
        <v>-0.37859982184830421</v>
      </c>
      <c r="AJ524" s="89">
        <f t="shared" si="467"/>
        <v>-0.37860033482289979</v>
      </c>
    </row>
    <row r="525" spans="1:36" x14ac:dyDescent="0.3">
      <c r="A525" s="21" t="s">
        <v>969</v>
      </c>
      <c r="B525" s="11" t="s">
        <v>970</v>
      </c>
      <c r="C525" s="12">
        <f t="shared" si="459"/>
        <v>1</v>
      </c>
      <c r="D525" s="41" t="str">
        <f t="shared" si="460"/>
        <v>un</v>
      </c>
      <c r="E525" s="41">
        <f>ROUND((X525*(1-$M$5))*(1+BDI!$C$21),2)</f>
        <v>7962.74</v>
      </c>
      <c r="F525" s="41">
        <f>ROUND((Y525*(1-$N$5))*(1+BDI!$C$21),2)</f>
        <v>2897.21</v>
      </c>
      <c r="G525" s="41">
        <f t="shared" ref="G525:G526" si="484">F525+E525</f>
        <v>10859.95</v>
      </c>
      <c r="H525" s="13">
        <f t="shared" ref="H525:H526" si="485">C525*E525</f>
        <v>7962.74</v>
      </c>
      <c r="I525" s="13">
        <f t="shared" ref="I525:I526" si="486">C525*F525</f>
        <v>2897.21</v>
      </c>
      <c r="J525" s="14">
        <f t="shared" ref="J525:J526" si="487">SUM(E525:F525)*C525</f>
        <v>10859.95</v>
      </c>
      <c r="M525" s="54"/>
      <c r="N525" s="56"/>
      <c r="V525" s="74">
        <v>1</v>
      </c>
      <c r="W525" s="74" t="s">
        <v>109</v>
      </c>
      <c r="X525" s="13">
        <v>9947.36</v>
      </c>
      <c r="Y525" s="13">
        <v>3619.31</v>
      </c>
      <c r="Z525" s="13">
        <f t="shared" ref="Z525" si="488">SUM(X525:Y525)</f>
        <v>13566.67</v>
      </c>
      <c r="AB525" s="74">
        <v>1</v>
      </c>
      <c r="AC525" s="74" t="s">
        <v>109</v>
      </c>
      <c r="AD525" s="13">
        <v>12814.19</v>
      </c>
      <c r="AE525" s="13">
        <v>4662.3999999999996</v>
      </c>
      <c r="AF525" s="13">
        <f t="shared" si="473"/>
        <v>17476.59</v>
      </c>
      <c r="AH525" s="89">
        <f t="shared" si="465"/>
        <v>-0.37859981785817132</v>
      </c>
      <c r="AI525" s="89">
        <f t="shared" si="466"/>
        <v>-0.3786011496225119</v>
      </c>
      <c r="AJ525" s="89">
        <f t="shared" si="467"/>
        <v>-0.37860017314590544</v>
      </c>
    </row>
    <row r="526" spans="1:36" x14ac:dyDescent="0.3">
      <c r="A526" s="21" t="s">
        <v>971</v>
      </c>
      <c r="B526" s="11" t="s">
        <v>972</v>
      </c>
      <c r="C526" s="12">
        <f t="shared" si="459"/>
        <v>1</v>
      </c>
      <c r="D526" s="41" t="str">
        <f t="shared" si="460"/>
        <v>un</v>
      </c>
      <c r="E526" s="41">
        <f>ROUND((X526*(1-$M$5))*(1+BDI!$C$21),2)</f>
        <v>21801.68</v>
      </c>
      <c r="F526" s="41">
        <f>ROUND((Y526*(1-$N$5))*(1+BDI!$C$21),2)</f>
        <v>3410.24</v>
      </c>
      <c r="G526" s="41">
        <f t="shared" si="484"/>
        <v>25211.919999999998</v>
      </c>
      <c r="H526" s="13">
        <f t="shared" si="485"/>
        <v>21801.68</v>
      </c>
      <c r="I526" s="13">
        <f t="shared" si="486"/>
        <v>3410.24</v>
      </c>
      <c r="J526" s="14">
        <f t="shared" si="487"/>
        <v>25211.919999999998</v>
      </c>
      <c r="M526" s="54"/>
      <c r="N526" s="56"/>
      <c r="V526" s="74">
        <v>1</v>
      </c>
      <c r="W526" s="74" t="s">
        <v>109</v>
      </c>
      <c r="X526" s="13">
        <v>27235.51</v>
      </c>
      <c r="Y526" s="13">
        <v>4260.2</v>
      </c>
      <c r="Z526" s="13">
        <f t="shared" ref="Z526" si="489">SUM(X526:Y526)</f>
        <v>31495.71</v>
      </c>
      <c r="AB526" s="74">
        <v>1</v>
      </c>
      <c r="AC526" s="74" t="s">
        <v>109</v>
      </c>
      <c r="AD526" s="13">
        <v>35084.78</v>
      </c>
      <c r="AE526" s="13">
        <v>5487.99</v>
      </c>
      <c r="AF526" s="13">
        <f t="shared" ref="AF526" si="490">SUM(AD526:AE526)</f>
        <v>40572.769999999997</v>
      </c>
      <c r="AH526" s="89">
        <f t="shared" si="465"/>
        <v>-0.37860006532747248</v>
      </c>
      <c r="AI526" s="89">
        <f t="shared" si="466"/>
        <v>-0.37859945080074853</v>
      </c>
      <c r="AJ526" s="89">
        <f t="shared" si="467"/>
        <v>-0.37859998220481372</v>
      </c>
    </row>
    <row r="527" spans="1:36" x14ac:dyDescent="0.3">
      <c r="A527" s="21" t="s">
        <v>973</v>
      </c>
      <c r="B527" s="11" t="s">
        <v>974</v>
      </c>
      <c r="C527" s="12">
        <f t="shared" si="459"/>
        <v>1</v>
      </c>
      <c r="D527" s="41" t="str">
        <f t="shared" si="460"/>
        <v>un</v>
      </c>
      <c r="E527" s="41">
        <f>ROUND((X527*(1-$M$5))*(1+BDI!$C$21),2)</f>
        <v>6.36</v>
      </c>
      <c r="F527" s="41">
        <f>ROUND((Y527*(1-$N$5))*(1+BDI!$C$21),2)</f>
        <v>12.99</v>
      </c>
      <c r="G527" s="41">
        <f t="shared" si="479"/>
        <v>19.350000000000001</v>
      </c>
      <c r="H527" s="13">
        <f t="shared" si="480"/>
        <v>6.36</v>
      </c>
      <c r="I527" s="13">
        <f t="shared" si="481"/>
        <v>12.99</v>
      </c>
      <c r="J527" s="14">
        <f t="shared" si="482"/>
        <v>19.350000000000001</v>
      </c>
      <c r="M527" s="54"/>
      <c r="N527" s="56"/>
      <c r="V527" s="74">
        <v>1</v>
      </c>
      <c r="W527" s="74" t="s">
        <v>109</v>
      </c>
      <c r="X527" s="13">
        <v>7.95</v>
      </c>
      <c r="Y527" s="13">
        <v>16.23</v>
      </c>
      <c r="Z527" s="13">
        <f t="shared" si="483"/>
        <v>24.18</v>
      </c>
      <c r="AB527" s="74">
        <v>1</v>
      </c>
      <c r="AC527" s="74" t="s">
        <v>109</v>
      </c>
      <c r="AD527" s="13">
        <v>10.24</v>
      </c>
      <c r="AE527" s="13">
        <v>20.91</v>
      </c>
      <c r="AF527" s="13">
        <f t="shared" ref="AF527" si="491">SUM(AD527:AE527)</f>
        <v>31.15</v>
      </c>
      <c r="AH527" s="89">
        <f t="shared" si="465"/>
        <v>-0.37890625</v>
      </c>
      <c r="AI527" s="89">
        <f t="shared" si="466"/>
        <v>-0.37876614060258251</v>
      </c>
      <c r="AJ527" s="89">
        <f t="shared" si="467"/>
        <v>-0.3788121990369181</v>
      </c>
    </row>
    <row r="528" spans="1:36" x14ac:dyDescent="0.3">
      <c r="A528" s="21" t="s">
        <v>975</v>
      </c>
      <c r="B528" s="11" t="s">
        <v>976</v>
      </c>
      <c r="C528" s="12">
        <f t="shared" si="459"/>
        <v>1</v>
      </c>
      <c r="D528" s="41" t="str">
        <f t="shared" si="460"/>
        <v>m</v>
      </c>
      <c r="E528" s="41">
        <f>ROUND((X528*(1-$M$5))*(1+BDI!$C$21),2)</f>
        <v>118.3</v>
      </c>
      <c r="F528" s="41">
        <f>ROUND((Y528*(1-$N$5))*(1+BDI!$C$21),2)</f>
        <v>30.36</v>
      </c>
      <c r="G528" s="41">
        <f t="shared" si="451"/>
        <v>148.66</v>
      </c>
      <c r="H528" s="13">
        <f t="shared" si="461"/>
        <v>118.3</v>
      </c>
      <c r="I528" s="13">
        <f t="shared" si="462"/>
        <v>30.36</v>
      </c>
      <c r="J528" s="14">
        <f t="shared" si="448"/>
        <v>148.66</v>
      </c>
      <c r="M528" s="54"/>
      <c r="N528" s="56"/>
      <c r="V528" s="74">
        <v>1</v>
      </c>
      <c r="W528" s="74" t="s">
        <v>75</v>
      </c>
      <c r="X528" s="13">
        <v>147.79</v>
      </c>
      <c r="Y528" s="13">
        <v>37.93</v>
      </c>
      <c r="Z528" s="13">
        <f t="shared" si="463"/>
        <v>185.72</v>
      </c>
      <c r="AB528" s="74">
        <v>1</v>
      </c>
      <c r="AC528" s="74" t="s">
        <v>75</v>
      </c>
      <c r="AD528" s="13">
        <v>190.38</v>
      </c>
      <c r="AE528" s="13">
        <v>48.86</v>
      </c>
      <c r="AF528" s="13">
        <f t="shared" ref="AF528" si="492">SUM(AD528:AE528)</f>
        <v>239.24</v>
      </c>
      <c r="AH528" s="89">
        <f t="shared" si="465"/>
        <v>-0.37861119865532089</v>
      </c>
      <c r="AI528" s="89">
        <f t="shared" si="466"/>
        <v>-0.37863282848956203</v>
      </c>
      <c r="AJ528" s="89">
        <f t="shared" si="467"/>
        <v>-0.37861561611770611</v>
      </c>
    </row>
    <row r="529" spans="1:36" x14ac:dyDescent="0.3">
      <c r="A529" s="21" t="s">
        <v>977</v>
      </c>
      <c r="B529" s="11" t="s">
        <v>978</v>
      </c>
      <c r="C529" s="12">
        <f t="shared" ref="C529:D534" si="493">V529</f>
        <v>1</v>
      </c>
      <c r="D529" s="41" t="str">
        <f t="shared" si="493"/>
        <v>m</v>
      </c>
      <c r="E529" s="41">
        <f>ROUND((X529*(1-$M$5))*(1+BDI!$C$21),2)</f>
        <v>27.06</v>
      </c>
      <c r="F529" s="41">
        <f>ROUND((Y529*(1-$N$5))*(1+BDI!$C$21),2)</f>
        <v>30.36</v>
      </c>
      <c r="G529" s="41">
        <f t="shared" ref="G529" si="494">F529+E529</f>
        <v>57.42</v>
      </c>
      <c r="H529" s="13">
        <f t="shared" ref="H529" si="495">C529*E529</f>
        <v>27.06</v>
      </c>
      <c r="I529" s="13">
        <f t="shared" ref="I529" si="496">C529*F529</f>
        <v>30.36</v>
      </c>
      <c r="J529" s="14">
        <f t="shared" ref="J529" si="497">SUM(E529:F529)*C529</f>
        <v>57.42</v>
      </c>
      <c r="M529" s="54"/>
      <c r="N529" s="56"/>
      <c r="V529" s="74">
        <v>1</v>
      </c>
      <c r="W529" s="74" t="s">
        <v>75</v>
      </c>
      <c r="X529" s="13">
        <v>33.81</v>
      </c>
      <c r="Y529" s="13">
        <v>37.93</v>
      </c>
      <c r="Z529" s="13">
        <f t="shared" ref="Z529" si="498">SUM(X529:Y529)</f>
        <v>71.740000000000009</v>
      </c>
      <c r="AB529" s="74">
        <v>1</v>
      </c>
      <c r="AC529" s="74" t="s">
        <v>75</v>
      </c>
      <c r="AD529" s="13">
        <v>43.55</v>
      </c>
      <c r="AE529" s="13">
        <v>48.86</v>
      </c>
      <c r="AF529" s="13">
        <f t="shared" ref="AF529" si="499">SUM(AD529:AE529)</f>
        <v>92.41</v>
      </c>
      <c r="AH529" s="89">
        <f t="shared" si="465"/>
        <v>-0.37864523536165329</v>
      </c>
      <c r="AI529" s="89">
        <f t="shared" si="466"/>
        <v>-0.37863282848956203</v>
      </c>
      <c r="AJ529" s="89">
        <f t="shared" si="467"/>
        <v>-0.37863867546802288</v>
      </c>
    </row>
    <row r="530" spans="1:36" x14ac:dyDescent="0.3">
      <c r="A530" s="21" t="s">
        <v>979</v>
      </c>
      <c r="B530" s="11" t="s">
        <v>980</v>
      </c>
      <c r="C530" s="12">
        <f t="shared" si="493"/>
        <v>1</v>
      </c>
      <c r="D530" s="41" t="str">
        <f t="shared" si="493"/>
        <v>UN</v>
      </c>
      <c r="E530" s="41">
        <f>ROUND((X530*(1-$M$5))*(1+BDI!$C$21),2)</f>
        <v>89.14</v>
      </c>
      <c r="F530" s="41">
        <f>ROUND((Y530*(1-$N$5))*(1+BDI!$C$21),2)</f>
        <v>12.89</v>
      </c>
      <c r="G530" s="41">
        <f t="shared" si="451"/>
        <v>102.03</v>
      </c>
      <c r="H530" s="13">
        <f t="shared" si="461"/>
        <v>89.14</v>
      </c>
      <c r="I530" s="13">
        <f t="shared" si="462"/>
        <v>12.89</v>
      </c>
      <c r="J530" s="14">
        <f t="shared" si="448"/>
        <v>102.03</v>
      </c>
      <c r="M530" s="54"/>
      <c r="N530" s="56"/>
      <c r="V530" s="74">
        <v>1</v>
      </c>
      <c r="W530" s="74" t="s">
        <v>46</v>
      </c>
      <c r="X530" s="13">
        <v>111.36</v>
      </c>
      <c r="Y530" s="13">
        <v>16.100000000000001</v>
      </c>
      <c r="Z530" s="13">
        <f t="shared" si="463"/>
        <v>127.46000000000001</v>
      </c>
      <c r="AB530" s="74">
        <v>1</v>
      </c>
      <c r="AC530" s="74" t="s">
        <v>46</v>
      </c>
      <c r="AD530" s="13">
        <v>143.44999999999999</v>
      </c>
      <c r="AE530" s="13">
        <v>20.74</v>
      </c>
      <c r="AF530" s="13">
        <f t="shared" ref="AF530" si="500">SUM(AD530:AE530)</f>
        <v>164.19</v>
      </c>
      <c r="AH530" s="89">
        <f t="shared" si="465"/>
        <v>-0.37859881491808989</v>
      </c>
      <c r="AI530" s="89">
        <f t="shared" si="466"/>
        <v>-0.37849566055930561</v>
      </c>
      <c r="AJ530" s="89">
        <f t="shared" si="467"/>
        <v>-0.37858578476155669</v>
      </c>
    </row>
    <row r="531" spans="1:36" x14ac:dyDescent="0.3">
      <c r="A531" s="21" t="s">
        <v>981</v>
      </c>
      <c r="B531" s="11" t="s">
        <v>982</v>
      </c>
      <c r="C531" s="12">
        <f t="shared" si="493"/>
        <v>1</v>
      </c>
      <c r="D531" s="41" t="str">
        <f t="shared" si="493"/>
        <v>UN</v>
      </c>
      <c r="E531" s="41">
        <f>ROUND((X531*(1-$M$5))*(1+BDI!$C$21),2)</f>
        <v>238.71</v>
      </c>
      <c r="F531" s="41">
        <f>ROUND((Y531*(1-$N$5))*(1+BDI!$C$21),2)</f>
        <v>12.89</v>
      </c>
      <c r="G531" s="41">
        <f t="shared" ref="G531:G535" si="501">F531+E531</f>
        <v>251.60000000000002</v>
      </c>
      <c r="H531" s="13">
        <f t="shared" ref="H531:H535" si="502">C531*E531</f>
        <v>238.71</v>
      </c>
      <c r="I531" s="13">
        <f t="shared" ref="I531:I535" si="503">C531*F531</f>
        <v>12.89</v>
      </c>
      <c r="J531" s="14">
        <f t="shared" ref="J531:J535" si="504">SUM(E531:F531)*C531</f>
        <v>251.60000000000002</v>
      </c>
      <c r="M531" s="54"/>
      <c r="N531" s="56"/>
      <c r="V531" s="74">
        <v>1</v>
      </c>
      <c r="W531" s="74" t="s">
        <v>46</v>
      </c>
      <c r="X531" s="13">
        <v>298.20999999999998</v>
      </c>
      <c r="Y531" s="13">
        <v>16.100000000000001</v>
      </c>
      <c r="Z531" s="13">
        <f t="shared" ref="Z531:Z532" si="505">SUM(X531:Y531)</f>
        <v>314.31</v>
      </c>
      <c r="AB531" s="74">
        <v>1</v>
      </c>
      <c r="AC531" s="74" t="s">
        <v>46</v>
      </c>
      <c r="AD531" s="13">
        <v>384.15</v>
      </c>
      <c r="AE531" s="13">
        <v>20.74</v>
      </c>
      <c r="AF531" s="13">
        <f t="shared" ref="AF531:AF532" si="506">SUM(AD531:AE531)</f>
        <v>404.89</v>
      </c>
      <c r="AH531" s="89">
        <f t="shared" si="465"/>
        <v>-0.37860210855134713</v>
      </c>
      <c r="AI531" s="89">
        <f t="shared" si="466"/>
        <v>-0.37849566055930561</v>
      </c>
      <c r="AJ531" s="89">
        <f t="shared" si="467"/>
        <v>-0.37859665588184432</v>
      </c>
    </row>
    <row r="532" spans="1:36" x14ac:dyDescent="0.3">
      <c r="A532" s="21" t="s">
        <v>983</v>
      </c>
      <c r="B532" s="11" t="s">
        <v>984</v>
      </c>
      <c r="C532" s="12">
        <f t="shared" ref="C532:C533" si="507">V532</f>
        <v>1</v>
      </c>
      <c r="D532" s="41" t="str">
        <f t="shared" ref="D532:D533" si="508">W532</f>
        <v>UN</v>
      </c>
      <c r="E532" s="41">
        <f>ROUND((X532*(1-$M$5))*(1+BDI!$C$21),2)</f>
        <v>247.51</v>
      </c>
      <c r="F532" s="41">
        <f>ROUND((Y532*(1-$N$5))*(1+BDI!$C$21),2)</f>
        <v>12.89</v>
      </c>
      <c r="G532" s="41">
        <f t="shared" si="501"/>
        <v>260.39999999999998</v>
      </c>
      <c r="H532" s="13">
        <f t="shared" si="502"/>
        <v>247.51</v>
      </c>
      <c r="I532" s="13">
        <f t="shared" si="503"/>
        <v>12.89</v>
      </c>
      <c r="J532" s="14">
        <f t="shared" si="504"/>
        <v>260.39999999999998</v>
      </c>
      <c r="M532" s="54"/>
      <c r="N532" s="56"/>
      <c r="V532" s="74">
        <v>1</v>
      </c>
      <c r="W532" s="74" t="s">
        <v>46</v>
      </c>
      <c r="X532" s="13">
        <v>309.2</v>
      </c>
      <c r="Y532" s="13">
        <v>16.100000000000001</v>
      </c>
      <c r="Z532" s="13">
        <f t="shared" si="505"/>
        <v>325.3</v>
      </c>
      <c r="AB532" s="74">
        <v>1</v>
      </c>
      <c r="AC532" s="74" t="s">
        <v>46</v>
      </c>
      <c r="AD532" s="13">
        <v>398.31</v>
      </c>
      <c r="AE532" s="13">
        <v>20.74</v>
      </c>
      <c r="AF532" s="13">
        <f t="shared" si="506"/>
        <v>419.05</v>
      </c>
      <c r="AH532" s="89">
        <f t="shared" si="465"/>
        <v>-0.37859958323918563</v>
      </c>
      <c r="AI532" s="89">
        <f t="shared" si="466"/>
        <v>-0.37849566055930561</v>
      </c>
      <c r="AJ532" s="89">
        <f t="shared" si="467"/>
        <v>-0.37859443980431939</v>
      </c>
    </row>
    <row r="533" spans="1:36" x14ac:dyDescent="0.3">
      <c r="A533" s="21" t="s">
        <v>985</v>
      </c>
      <c r="B533" s="11" t="s">
        <v>986</v>
      </c>
      <c r="C533" s="12">
        <f t="shared" si="507"/>
        <v>1</v>
      </c>
      <c r="D533" s="41" t="str">
        <f t="shared" si="508"/>
        <v>UN</v>
      </c>
      <c r="E533" s="41">
        <f>ROUND((X533*(1-$M$5))*(1+BDI!$C$21),2)</f>
        <v>18.559999999999999</v>
      </c>
      <c r="F533" s="41">
        <f>ROUND((Y533*(1-$N$5))*(1+BDI!$C$21),2)</f>
        <v>22.66</v>
      </c>
      <c r="G533" s="41">
        <f t="shared" ref="G533" si="509">F533+E533</f>
        <v>41.22</v>
      </c>
      <c r="H533" s="13">
        <f t="shared" ref="H533" si="510">C533*E533</f>
        <v>18.559999999999999</v>
      </c>
      <c r="I533" s="13">
        <f t="shared" ref="I533" si="511">C533*F533</f>
        <v>22.66</v>
      </c>
      <c r="J533" s="14">
        <f t="shared" ref="J533" si="512">SUM(E533:F533)*C533</f>
        <v>41.22</v>
      </c>
      <c r="M533" s="54"/>
      <c r="N533" s="56"/>
      <c r="V533" s="74">
        <v>1</v>
      </c>
      <c r="W533" s="74" t="s">
        <v>46</v>
      </c>
      <c r="X533" s="13">
        <v>23.19</v>
      </c>
      <c r="Y533" s="13">
        <v>28.31</v>
      </c>
      <c r="Z533" s="13">
        <f t="shared" ref="Z533" si="513">SUM(X533:Y533)</f>
        <v>51.5</v>
      </c>
      <c r="AB533" s="74">
        <v>1</v>
      </c>
      <c r="AC533" s="74" t="s">
        <v>46</v>
      </c>
      <c r="AD533" s="13">
        <v>29.87</v>
      </c>
      <c r="AE533" s="13">
        <v>36.47</v>
      </c>
      <c r="AF533" s="13">
        <f t="shared" ref="AF533" si="514">SUM(AD533:AE533)</f>
        <v>66.34</v>
      </c>
      <c r="AH533" s="89">
        <f t="shared" ref="AH533" si="515">IF(E533=0,0,(E533/AD533)-1)</f>
        <v>-0.37864077669902918</v>
      </c>
      <c r="AI533" s="89">
        <f t="shared" ref="AI533" si="516">IF(F533=0,0,(F533/AE533)-1)</f>
        <v>-0.37866739786125581</v>
      </c>
      <c r="AJ533" s="89">
        <f t="shared" ref="AJ533" si="517">IF(G533=0,0,(G533/AF533)-1)</f>
        <v>-0.37865541151643056</v>
      </c>
    </row>
    <row r="534" spans="1:36" x14ac:dyDescent="0.3">
      <c r="A534" s="21" t="s">
        <v>987</v>
      </c>
      <c r="B534" s="11" t="s">
        <v>1062</v>
      </c>
      <c r="C534" s="12">
        <f t="shared" si="493"/>
        <v>1</v>
      </c>
      <c r="D534" s="41" t="str">
        <f t="shared" si="493"/>
        <v>h</v>
      </c>
      <c r="E534" s="41">
        <f>ROUND((X534*(1-$M$5))*(1+BDI!$C$21),2)</f>
        <v>218.01</v>
      </c>
      <c r="F534" s="41">
        <f>ROUND((Y534*(1-$N$5))*(1+BDI!$C$21),2)</f>
        <v>22.01</v>
      </c>
      <c r="G534" s="41">
        <f t="shared" ref="G534" si="518">F534+E534</f>
        <v>240.01999999999998</v>
      </c>
      <c r="H534" s="13">
        <f t="shared" ref="H534" si="519">C534*E534</f>
        <v>218.01</v>
      </c>
      <c r="I534" s="13">
        <f t="shared" ref="I534" si="520">C534*F534</f>
        <v>22.01</v>
      </c>
      <c r="J534" s="14">
        <f t="shared" ref="J534" si="521">SUM(E534:F534)*C534</f>
        <v>240.01999999999998</v>
      </c>
      <c r="M534" s="54"/>
      <c r="N534" s="56"/>
      <c r="V534" s="74">
        <v>1</v>
      </c>
      <c r="W534" s="74" t="s">
        <v>988</v>
      </c>
      <c r="X534" s="13">
        <v>272.35000000000002</v>
      </c>
      <c r="Y534" s="13">
        <v>27.49</v>
      </c>
      <c r="Z534" s="13">
        <f t="shared" ref="Z534" si="522">SUM(X534:Y534)</f>
        <v>299.84000000000003</v>
      </c>
      <c r="AB534" s="74">
        <v>1</v>
      </c>
      <c r="AC534" s="74" t="s">
        <v>988</v>
      </c>
      <c r="AD534" s="13">
        <v>350.84</v>
      </c>
      <c r="AE534" s="13">
        <v>35.409999999999997</v>
      </c>
      <c r="AF534" s="13">
        <f t="shared" ref="AF534" si="523">SUM(AD534:AE534)</f>
        <v>386.25</v>
      </c>
      <c r="AH534" s="89">
        <f t="shared" ref="AH534" si="524">IF(E534=0,0,(E534/AD534)-1)</f>
        <v>-0.37860563219701282</v>
      </c>
      <c r="AI534" s="89">
        <f t="shared" ref="AI534" si="525">IF(F534=0,0,(F534/AE534)-1)</f>
        <v>-0.37842417396215744</v>
      </c>
      <c r="AJ534" s="89">
        <f t="shared" ref="AJ534" si="526">IF(G534=0,0,(G534/AF534)-1)</f>
        <v>-0.37858899676375413</v>
      </c>
    </row>
    <row r="535" spans="1:36" x14ac:dyDescent="0.3">
      <c r="A535" s="21" t="s">
        <v>989</v>
      </c>
      <c r="B535" s="11" t="s">
        <v>1063</v>
      </c>
      <c r="C535" s="12">
        <f t="shared" ref="C535" si="527">V535</f>
        <v>1</v>
      </c>
      <c r="D535" s="41" t="str">
        <f t="shared" ref="D535" si="528">W535</f>
        <v>UN</v>
      </c>
      <c r="E535" s="41">
        <f>ROUND((X535*(1-$M$5))*(1+BDI!$C$21),2)</f>
        <v>22.49</v>
      </c>
      <c r="F535" s="41">
        <f>ROUND((Y535*(1-$N$5))*(1+BDI!$C$21),2)</f>
        <v>813.55</v>
      </c>
      <c r="G535" s="41">
        <f t="shared" si="501"/>
        <v>836.04</v>
      </c>
      <c r="H535" s="13">
        <f t="shared" si="502"/>
        <v>22.49</v>
      </c>
      <c r="I535" s="13">
        <f t="shared" si="503"/>
        <v>813.55</v>
      </c>
      <c r="J535" s="14">
        <f t="shared" si="504"/>
        <v>836.04</v>
      </c>
      <c r="M535" s="54"/>
      <c r="N535" s="56"/>
      <c r="V535" s="74">
        <v>1</v>
      </c>
      <c r="W535" s="74" t="s">
        <v>46</v>
      </c>
      <c r="X535" s="13">
        <v>28.09</v>
      </c>
      <c r="Y535" s="13">
        <v>1016.32</v>
      </c>
      <c r="Z535" s="13">
        <f t="shared" ref="Z535" si="529">SUM(X535:Y535)</f>
        <v>1044.4100000000001</v>
      </c>
      <c r="AB535" s="74">
        <v>1</v>
      </c>
      <c r="AC535" s="74" t="s">
        <v>46</v>
      </c>
      <c r="AD535" s="13">
        <v>36.19</v>
      </c>
      <c r="AE535" s="13">
        <v>1309.22</v>
      </c>
      <c r="AF535" s="13">
        <f t="shared" ref="AF535" si="530">SUM(AD535:AE535)</f>
        <v>1345.41</v>
      </c>
      <c r="AH535" s="89">
        <f t="shared" si="465"/>
        <v>-0.37855761260016585</v>
      </c>
      <c r="AI535" s="89">
        <f t="shared" si="466"/>
        <v>-0.37859947144101069</v>
      </c>
      <c r="AJ535" s="89">
        <f t="shared" si="467"/>
        <v>-0.37859834548576277</v>
      </c>
    </row>
    <row r="536" spans="1:36" x14ac:dyDescent="0.3">
      <c r="A536" s="19">
        <v>30</v>
      </c>
      <c r="B536" s="20" t="s">
        <v>990</v>
      </c>
      <c r="C536" s="8"/>
      <c r="D536" s="9"/>
      <c r="E536" s="9"/>
      <c r="F536" s="9"/>
      <c r="G536" s="9"/>
      <c r="H536" s="23">
        <v>0</v>
      </c>
      <c r="I536" s="23">
        <v>0</v>
      </c>
      <c r="J536" s="24">
        <v>0</v>
      </c>
      <c r="M536" s="54"/>
      <c r="N536" s="56"/>
      <c r="V536" s="75"/>
      <c r="W536" s="75"/>
      <c r="X536" s="23"/>
      <c r="Y536" s="23"/>
      <c r="Z536" s="23"/>
      <c r="AB536" s="75"/>
      <c r="AC536" s="75"/>
      <c r="AD536" s="23"/>
      <c r="AE536" s="23"/>
      <c r="AF536" s="23"/>
    </row>
    <row r="537" spans="1:36" ht="15.6" x14ac:dyDescent="0.3">
      <c r="A537" s="25"/>
      <c r="B537" s="26" t="s">
        <v>991</v>
      </c>
      <c r="C537" s="27"/>
      <c r="D537" s="28"/>
      <c r="E537" s="28"/>
      <c r="F537" s="28"/>
      <c r="G537" s="28"/>
      <c r="H537" s="30">
        <f>SUM(H8:H536)/2</f>
        <v>4043274.1400000015</v>
      </c>
      <c r="I537" s="30">
        <f>SUM(I8:I536)/2</f>
        <v>1942086.4399999981</v>
      </c>
      <c r="J537" s="30">
        <f>SUM(J8:J536)/2</f>
        <v>5985360.5800000019</v>
      </c>
      <c r="M537" s="54"/>
      <c r="N537" s="56"/>
      <c r="AB537" s="74"/>
      <c r="AC537" s="74"/>
      <c r="AD537" s="29">
        <v>6506617.9099999992</v>
      </c>
      <c r="AE537" s="29">
        <v>3125557.6300000004</v>
      </c>
      <c r="AF537" s="29">
        <v>9632175.5399999991</v>
      </c>
    </row>
    <row r="538" spans="1:36" x14ac:dyDescent="0.3">
      <c r="M538" s="54"/>
      <c r="N538" s="56"/>
      <c r="AH538" s="94">
        <f>COUNTIF(AH9:AH535,"&lt;&gt;0")</f>
        <v>469</v>
      </c>
      <c r="AI538" s="94">
        <f>COUNTIF(AI9:AI535,"&lt;&gt;0")</f>
        <v>496</v>
      </c>
      <c r="AJ538" s="94">
        <f>COUNTIF(AJ9:AJ535,"&lt;&gt;0")</f>
        <v>499</v>
      </c>
    </row>
    <row r="539" spans="1:36" x14ac:dyDescent="0.3">
      <c r="M539" s="54"/>
      <c r="N539" s="56"/>
      <c r="AH539" s="88">
        <f>SUMIF(AH9:AH535,"&lt;&gt;0",AH9:AH535)</f>
        <v>-177.55402602003193</v>
      </c>
      <c r="AI539" s="88">
        <f>SUMIF(AI9:AI535,"&lt;&gt;0",AI9:AI535)</f>
        <v>-187.77072066902869</v>
      </c>
      <c r="AJ539" s="88">
        <f>SUMIF(AJ9:AJ535,"&lt;&gt;0",AJ9:AJ535)</f>
        <v>-188.92052918584056</v>
      </c>
    </row>
    <row r="540" spans="1:36" x14ac:dyDescent="0.3">
      <c r="M540" s="54"/>
      <c r="N540" s="56"/>
      <c r="AH540" s="89">
        <f>AH539/AH538</f>
        <v>-0.37858001283588899</v>
      </c>
      <c r="AI540" s="89">
        <f>AI539/AI538</f>
        <v>-0.37857000134884816</v>
      </c>
      <c r="AJ540" s="89">
        <f>AJ539/AJ538</f>
        <v>-0.378598254881444</v>
      </c>
    </row>
    <row r="541" spans="1:36" x14ac:dyDescent="0.3">
      <c r="M541" s="54"/>
      <c r="N541" s="56"/>
    </row>
    <row r="542" spans="1:36" x14ac:dyDescent="0.3">
      <c r="M542" s="56"/>
      <c r="N542" s="56"/>
    </row>
    <row r="543" spans="1:36" x14ac:dyDescent="0.3">
      <c r="M543" s="56"/>
      <c r="N543" s="56"/>
      <c r="AH543" s="92"/>
      <c r="AI543" s="92"/>
      <c r="AJ543" s="92"/>
    </row>
    <row r="544" spans="1:36" x14ac:dyDescent="0.3">
      <c r="M544" s="56"/>
      <c r="N544" s="56"/>
    </row>
    <row r="545" spans="13:14" x14ac:dyDescent="0.3">
      <c r="M545" s="55"/>
      <c r="N545" s="55"/>
    </row>
    <row r="546" spans="13:14" ht="15.6" x14ac:dyDescent="0.3">
      <c r="M546" s="57"/>
      <c r="N546" s="57"/>
    </row>
  </sheetData>
  <autoFilter ref="A7:J537" xr:uid="{00000000-0009-0000-0000-000000000000}"/>
  <mergeCells count="7">
    <mergeCell ref="M18:N20"/>
    <mergeCell ref="M8:N9"/>
    <mergeCell ref="M24:N37"/>
    <mergeCell ref="M3:N3"/>
    <mergeCell ref="C3:J3"/>
    <mergeCell ref="D5:G5"/>
    <mergeCell ref="M16:N16"/>
  </mergeCells>
  <phoneticPr fontId="15" type="noConversion"/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pageSetup paperSize="9" scale="26" orientation="portrait" r:id="rId1"/>
  <headerFooter>
    <oddHeader>&amp;R&amp;"Calibri"&amp;10&amp;K000000#interna&amp;1#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7F82-90E4-49E5-B9B4-23A4918DBB54}">
  <dimension ref="A1:E112"/>
  <sheetViews>
    <sheetView zoomScaleNormal="100" workbookViewId="0">
      <selection sqref="A1:E3"/>
    </sheetView>
  </sheetViews>
  <sheetFormatPr defaultRowHeight="14.4" x14ac:dyDescent="0.3"/>
  <cols>
    <col min="1" max="1" width="9.44140625" style="111" customWidth="1"/>
    <col min="2" max="2" width="14.44140625" style="111" customWidth="1"/>
    <col min="3" max="3" width="21.109375" style="111" bestFit="1" customWidth="1"/>
    <col min="4" max="4" width="43.88671875" style="111" bestFit="1" customWidth="1"/>
    <col min="5" max="5" width="60.88671875" style="111" customWidth="1"/>
  </cols>
  <sheetData>
    <row r="1" spans="1:5" ht="15" customHeight="1" x14ac:dyDescent="0.3">
      <c r="A1" s="269" t="s">
        <v>1372</v>
      </c>
      <c r="B1" s="269"/>
      <c r="C1" s="269"/>
      <c r="D1" s="269"/>
      <c r="E1" s="269"/>
    </row>
    <row r="2" spans="1:5" ht="15" customHeight="1" x14ac:dyDescent="0.3">
      <c r="A2" s="269"/>
      <c r="B2" s="269"/>
      <c r="C2" s="269"/>
      <c r="D2" s="269"/>
      <c r="E2" s="269"/>
    </row>
    <row r="3" spans="1:5" ht="15" customHeight="1" x14ac:dyDescent="0.3">
      <c r="A3" s="269"/>
      <c r="B3" s="269"/>
      <c r="C3" s="269"/>
      <c r="D3" s="269"/>
      <c r="E3" s="269"/>
    </row>
    <row r="4" spans="1:5" ht="15" customHeight="1" x14ac:dyDescent="0.3">
      <c r="A4" s="112" t="s">
        <v>1149</v>
      </c>
      <c r="B4" s="113" t="s">
        <v>1150</v>
      </c>
      <c r="C4" s="113" t="s">
        <v>1151</v>
      </c>
      <c r="D4" s="113" t="s">
        <v>1152</v>
      </c>
      <c r="E4" s="114" t="s">
        <v>1153</v>
      </c>
    </row>
    <row r="5" spans="1:5" ht="15" customHeight="1" x14ac:dyDescent="0.3">
      <c r="A5" s="115">
        <v>76</v>
      </c>
      <c r="B5" s="116">
        <v>0</v>
      </c>
      <c r="C5" s="117" t="s">
        <v>1154</v>
      </c>
      <c r="D5" s="117" t="s">
        <v>1155</v>
      </c>
      <c r="E5" s="118" t="s">
        <v>1154</v>
      </c>
    </row>
    <row r="6" spans="1:5" ht="15" customHeight="1" x14ac:dyDescent="0.3">
      <c r="A6" s="115">
        <v>76</v>
      </c>
      <c r="B6" s="116">
        <v>4</v>
      </c>
      <c r="C6" s="117" t="s">
        <v>1156</v>
      </c>
      <c r="D6" s="117" t="s">
        <v>1157</v>
      </c>
      <c r="E6" s="118" t="s">
        <v>1154</v>
      </c>
    </row>
    <row r="7" spans="1:5" ht="15" customHeight="1" x14ac:dyDescent="0.3">
      <c r="A7" s="115">
        <v>175</v>
      </c>
      <c r="B7" s="116">
        <v>0</v>
      </c>
      <c r="C7" s="117" t="s">
        <v>1158</v>
      </c>
      <c r="D7" s="117" t="s">
        <v>1159</v>
      </c>
      <c r="E7" s="118" t="s">
        <v>1158</v>
      </c>
    </row>
    <row r="8" spans="1:5" ht="15" customHeight="1" x14ac:dyDescent="0.3">
      <c r="A8" s="115">
        <v>294</v>
      </c>
      <c r="B8" s="116">
        <v>0</v>
      </c>
      <c r="C8" s="117" t="s">
        <v>1160</v>
      </c>
      <c r="D8" s="117" t="s">
        <v>1161</v>
      </c>
      <c r="E8" s="118" t="s">
        <v>1160</v>
      </c>
    </row>
    <row r="9" spans="1:5" ht="15" customHeight="1" x14ac:dyDescent="0.3">
      <c r="A9" s="115">
        <v>306</v>
      </c>
      <c r="B9" s="116">
        <v>0</v>
      </c>
      <c r="C9" s="117" t="s">
        <v>1162</v>
      </c>
      <c r="D9" s="117" t="s">
        <v>1163</v>
      </c>
      <c r="E9" s="118" t="s">
        <v>1162</v>
      </c>
    </row>
    <row r="10" spans="1:5" ht="15" customHeight="1" x14ac:dyDescent="0.3">
      <c r="A10" s="115">
        <v>306</v>
      </c>
      <c r="B10" s="116">
        <v>1</v>
      </c>
      <c r="C10" s="117" t="s">
        <v>1164</v>
      </c>
      <c r="D10" s="117" t="s">
        <v>1165</v>
      </c>
      <c r="E10" s="118" t="s">
        <v>1162</v>
      </c>
    </row>
    <row r="11" spans="1:5" ht="15" customHeight="1" x14ac:dyDescent="0.3">
      <c r="A11" s="115">
        <v>449</v>
      </c>
      <c r="B11" s="116">
        <v>0</v>
      </c>
      <c r="C11" s="117" t="s">
        <v>1166</v>
      </c>
      <c r="D11" s="117" t="s">
        <v>1167</v>
      </c>
      <c r="E11" s="118" t="s">
        <v>1168</v>
      </c>
    </row>
    <row r="12" spans="1:5" ht="15" customHeight="1" x14ac:dyDescent="0.3">
      <c r="A12" s="115">
        <v>574</v>
      </c>
      <c r="B12" s="116">
        <v>0</v>
      </c>
      <c r="C12" s="117" t="s">
        <v>1169</v>
      </c>
      <c r="D12" s="117" t="s">
        <v>1170</v>
      </c>
      <c r="E12" s="118" t="s">
        <v>1169</v>
      </c>
    </row>
    <row r="13" spans="1:5" ht="15" customHeight="1" x14ac:dyDescent="0.3">
      <c r="A13" s="115">
        <v>683</v>
      </c>
      <c r="B13" s="116">
        <v>0</v>
      </c>
      <c r="C13" s="117" t="s">
        <v>1171</v>
      </c>
      <c r="D13" s="117" t="s">
        <v>1172</v>
      </c>
      <c r="E13" s="118" t="s">
        <v>1171</v>
      </c>
    </row>
    <row r="14" spans="1:5" ht="15" customHeight="1" x14ac:dyDescent="0.3">
      <c r="A14" s="115">
        <v>715</v>
      </c>
      <c r="B14" s="116">
        <v>0</v>
      </c>
      <c r="C14" s="117" t="s">
        <v>1173</v>
      </c>
      <c r="D14" s="117" t="s">
        <v>1174</v>
      </c>
      <c r="E14" s="118" t="s">
        <v>1175</v>
      </c>
    </row>
    <row r="15" spans="1:5" ht="15" customHeight="1" x14ac:dyDescent="0.3">
      <c r="A15" s="115">
        <v>718</v>
      </c>
      <c r="B15" s="116">
        <v>0</v>
      </c>
      <c r="C15" s="117" t="s">
        <v>1176</v>
      </c>
      <c r="D15" s="117" t="s">
        <v>1177</v>
      </c>
      <c r="E15" s="118" t="s">
        <v>1176</v>
      </c>
    </row>
    <row r="16" spans="1:5" ht="15" customHeight="1" x14ac:dyDescent="0.3">
      <c r="A16" s="115">
        <v>857</v>
      </c>
      <c r="B16" s="116">
        <v>0</v>
      </c>
      <c r="C16" s="117" t="s">
        <v>1178</v>
      </c>
      <c r="D16" s="117" t="s">
        <v>1179</v>
      </c>
      <c r="E16" s="118" t="s">
        <v>1178</v>
      </c>
    </row>
    <row r="17" spans="1:5" ht="15" customHeight="1" x14ac:dyDescent="0.3">
      <c r="A17" s="115">
        <v>905</v>
      </c>
      <c r="B17" s="116">
        <v>0</v>
      </c>
      <c r="C17" s="117" t="s">
        <v>1180</v>
      </c>
      <c r="D17" s="117" t="s">
        <v>1181</v>
      </c>
      <c r="E17" s="118" t="s">
        <v>1180</v>
      </c>
    </row>
    <row r="18" spans="1:5" ht="15" customHeight="1" x14ac:dyDescent="0.3">
      <c r="A18" s="115">
        <v>1213</v>
      </c>
      <c r="B18" s="116">
        <v>0</v>
      </c>
      <c r="C18" s="117" t="s">
        <v>1182</v>
      </c>
      <c r="D18" s="117" t="s">
        <v>1183</v>
      </c>
      <c r="E18" s="118" t="s">
        <v>1158</v>
      </c>
    </row>
    <row r="19" spans="1:5" ht="15" customHeight="1" x14ac:dyDescent="0.3">
      <c r="A19" s="115">
        <v>1451</v>
      </c>
      <c r="B19" s="116">
        <v>0</v>
      </c>
      <c r="C19" s="117" t="s">
        <v>1184</v>
      </c>
      <c r="D19" s="117" t="s">
        <v>1185</v>
      </c>
      <c r="E19" s="118" t="s">
        <v>1184</v>
      </c>
    </row>
    <row r="20" spans="1:5" ht="15" customHeight="1" x14ac:dyDescent="0.3">
      <c r="A20" s="115">
        <v>1476</v>
      </c>
      <c r="B20" s="116">
        <v>0</v>
      </c>
      <c r="C20" s="117" t="s">
        <v>1186</v>
      </c>
      <c r="D20" s="117" t="s">
        <v>1187</v>
      </c>
      <c r="E20" s="118" t="s">
        <v>1186</v>
      </c>
    </row>
    <row r="21" spans="1:5" ht="15" customHeight="1" x14ac:dyDescent="0.3">
      <c r="A21" s="115">
        <v>1490</v>
      </c>
      <c r="B21" s="116">
        <v>0</v>
      </c>
      <c r="C21" s="117" t="s">
        <v>1188</v>
      </c>
      <c r="D21" s="117" t="s">
        <v>1189</v>
      </c>
      <c r="E21" s="118" t="s">
        <v>1188</v>
      </c>
    </row>
    <row r="22" spans="1:5" ht="15" customHeight="1" x14ac:dyDescent="0.3">
      <c r="A22" s="115">
        <v>1645</v>
      </c>
      <c r="B22" s="116">
        <v>0</v>
      </c>
      <c r="C22" s="117" t="s">
        <v>1190</v>
      </c>
      <c r="D22" s="117" t="s">
        <v>1191</v>
      </c>
      <c r="E22" s="118" t="s">
        <v>1190</v>
      </c>
    </row>
    <row r="23" spans="1:5" ht="15" customHeight="1" x14ac:dyDescent="0.3">
      <c r="A23" s="115">
        <v>1683</v>
      </c>
      <c r="B23" s="116">
        <v>0</v>
      </c>
      <c r="C23" s="117" t="s">
        <v>1192</v>
      </c>
      <c r="D23" s="117" t="s">
        <v>1193</v>
      </c>
      <c r="E23" s="118" t="s">
        <v>1192</v>
      </c>
    </row>
    <row r="24" spans="1:5" ht="15" customHeight="1" x14ac:dyDescent="0.3">
      <c r="A24" s="115">
        <v>1741</v>
      </c>
      <c r="B24" s="116">
        <v>0</v>
      </c>
      <c r="C24" s="117" t="s">
        <v>1194</v>
      </c>
      <c r="D24" s="117" t="s">
        <v>1195</v>
      </c>
      <c r="E24" s="118" t="s">
        <v>1194</v>
      </c>
    </row>
    <row r="25" spans="1:5" ht="15" customHeight="1" x14ac:dyDescent="0.3">
      <c r="A25" s="115">
        <v>1741</v>
      </c>
      <c r="B25" s="116">
        <v>8</v>
      </c>
      <c r="C25" s="117" t="s">
        <v>1196</v>
      </c>
      <c r="D25" s="117" t="s">
        <v>1197</v>
      </c>
      <c r="E25" s="118" t="s">
        <v>1194</v>
      </c>
    </row>
    <row r="26" spans="1:5" ht="15" customHeight="1" x14ac:dyDescent="0.3">
      <c r="A26" s="115">
        <v>2022</v>
      </c>
      <c r="B26" s="116">
        <v>0</v>
      </c>
      <c r="C26" s="117" t="s">
        <v>1198</v>
      </c>
      <c r="D26" s="117" t="s">
        <v>1199</v>
      </c>
      <c r="E26" s="118" t="s">
        <v>1198</v>
      </c>
    </row>
    <row r="27" spans="1:5" ht="15" customHeight="1" x14ac:dyDescent="0.3">
      <c r="A27" s="115">
        <v>2098</v>
      </c>
      <c r="B27" s="116">
        <v>0</v>
      </c>
      <c r="C27" s="117" t="s">
        <v>1200</v>
      </c>
      <c r="D27" s="117" t="s">
        <v>1201</v>
      </c>
      <c r="E27" s="118" t="s">
        <v>1200</v>
      </c>
    </row>
    <row r="28" spans="1:5" ht="15" customHeight="1" x14ac:dyDescent="0.3">
      <c r="A28" s="115">
        <v>2466</v>
      </c>
      <c r="B28" s="116">
        <v>0</v>
      </c>
      <c r="C28" s="117" t="s">
        <v>1202</v>
      </c>
      <c r="D28" s="117" t="s">
        <v>1203</v>
      </c>
      <c r="E28" s="118" t="s">
        <v>1202</v>
      </c>
    </row>
    <row r="29" spans="1:5" ht="15" customHeight="1" x14ac:dyDescent="0.3">
      <c r="A29" s="115">
        <v>2513</v>
      </c>
      <c r="B29" s="116">
        <v>0</v>
      </c>
      <c r="C29" s="117" t="s">
        <v>1204</v>
      </c>
      <c r="D29" s="117" t="s">
        <v>1205</v>
      </c>
      <c r="E29" s="118" t="s">
        <v>1158</v>
      </c>
    </row>
    <row r="30" spans="1:5" ht="15" customHeight="1" x14ac:dyDescent="0.3">
      <c r="A30" s="115">
        <v>2558</v>
      </c>
      <c r="B30" s="116">
        <v>9</v>
      </c>
      <c r="C30" s="117" t="s">
        <v>1206</v>
      </c>
      <c r="D30" s="117" t="s">
        <v>1207</v>
      </c>
      <c r="E30" s="118" t="s">
        <v>1158</v>
      </c>
    </row>
    <row r="31" spans="1:5" ht="15" customHeight="1" x14ac:dyDescent="0.3">
      <c r="A31" s="115">
        <v>2571</v>
      </c>
      <c r="B31" s="116">
        <v>0</v>
      </c>
      <c r="C31" s="117" t="s">
        <v>1208</v>
      </c>
      <c r="D31" s="117" t="s">
        <v>1209</v>
      </c>
      <c r="E31" s="118" t="s">
        <v>1208</v>
      </c>
    </row>
    <row r="32" spans="1:5" ht="15" customHeight="1" x14ac:dyDescent="0.3">
      <c r="A32" s="115">
        <v>2578</v>
      </c>
      <c r="B32" s="116">
        <v>0</v>
      </c>
      <c r="C32" s="117" t="s">
        <v>1210</v>
      </c>
      <c r="D32" s="117" t="s">
        <v>1211</v>
      </c>
      <c r="E32" s="118" t="s">
        <v>1210</v>
      </c>
    </row>
    <row r="33" spans="1:5" ht="15" customHeight="1" x14ac:dyDescent="0.3">
      <c r="A33" s="115">
        <v>2608</v>
      </c>
      <c r="B33" s="116">
        <v>0</v>
      </c>
      <c r="C33" s="117" t="s">
        <v>1212</v>
      </c>
      <c r="D33" s="117" t="s">
        <v>1213</v>
      </c>
      <c r="E33" s="118" t="s">
        <v>1212</v>
      </c>
    </row>
    <row r="34" spans="1:5" ht="15" customHeight="1" x14ac:dyDescent="0.3">
      <c r="A34" s="115">
        <v>2648</v>
      </c>
      <c r="B34" s="116">
        <v>0</v>
      </c>
      <c r="C34" s="117" t="s">
        <v>1214</v>
      </c>
      <c r="D34" s="117" t="s">
        <v>1215</v>
      </c>
      <c r="E34" s="118" t="s">
        <v>1216</v>
      </c>
    </row>
    <row r="35" spans="1:5" ht="15" customHeight="1" x14ac:dyDescent="0.3">
      <c r="A35" s="115">
        <v>2748</v>
      </c>
      <c r="B35" s="116">
        <v>0</v>
      </c>
      <c r="C35" s="117" t="s">
        <v>1217</v>
      </c>
      <c r="D35" s="117" t="s">
        <v>1218</v>
      </c>
      <c r="E35" s="118" t="s">
        <v>1217</v>
      </c>
    </row>
    <row r="36" spans="1:5" ht="15" customHeight="1" x14ac:dyDescent="0.3">
      <c r="A36" s="115">
        <v>3029</v>
      </c>
      <c r="B36" s="116">
        <v>0</v>
      </c>
      <c r="C36" s="117" t="s">
        <v>1219</v>
      </c>
      <c r="D36" s="117" t="s">
        <v>1220</v>
      </c>
      <c r="E36" s="118" t="s">
        <v>1219</v>
      </c>
    </row>
    <row r="37" spans="1:5" ht="15" customHeight="1" x14ac:dyDescent="0.3">
      <c r="A37" s="115">
        <v>3443</v>
      </c>
      <c r="B37" s="116">
        <v>0</v>
      </c>
      <c r="C37" s="117" t="s">
        <v>1221</v>
      </c>
      <c r="D37" s="117" t="s">
        <v>1222</v>
      </c>
      <c r="E37" s="118" t="s">
        <v>1158</v>
      </c>
    </row>
    <row r="38" spans="1:5" ht="15" customHeight="1" x14ac:dyDescent="0.3">
      <c r="A38" s="115">
        <v>3568</v>
      </c>
      <c r="B38" s="116">
        <v>0</v>
      </c>
      <c r="C38" s="117" t="s">
        <v>1223</v>
      </c>
      <c r="D38" s="117" t="s">
        <v>1224</v>
      </c>
      <c r="E38" s="118" t="s">
        <v>1160</v>
      </c>
    </row>
    <row r="39" spans="1:5" ht="15" customHeight="1" x14ac:dyDescent="0.3">
      <c r="A39" s="115">
        <v>3574</v>
      </c>
      <c r="B39" s="116">
        <v>0</v>
      </c>
      <c r="C39" s="117" t="s">
        <v>1225</v>
      </c>
      <c r="D39" s="117" t="s">
        <v>1226</v>
      </c>
      <c r="E39" s="118" t="s">
        <v>1158</v>
      </c>
    </row>
    <row r="40" spans="1:5" ht="15" customHeight="1" x14ac:dyDescent="0.3">
      <c r="A40" s="115">
        <v>715</v>
      </c>
      <c r="B40" s="116">
        <v>14</v>
      </c>
      <c r="C40" s="117" t="s">
        <v>1227</v>
      </c>
      <c r="D40" s="117" t="s">
        <v>1228</v>
      </c>
      <c r="E40" s="118" t="s">
        <v>1175</v>
      </c>
    </row>
    <row r="41" spans="1:5" ht="15" customHeight="1" x14ac:dyDescent="0.3">
      <c r="A41" s="115">
        <v>4694</v>
      </c>
      <c r="B41" s="116">
        <v>0</v>
      </c>
      <c r="C41" s="117" t="s">
        <v>1229</v>
      </c>
      <c r="D41" s="117" t="s">
        <v>1230</v>
      </c>
      <c r="E41" s="118" t="s">
        <v>1229</v>
      </c>
    </row>
    <row r="42" spans="1:5" ht="15" customHeight="1" x14ac:dyDescent="0.3">
      <c r="A42" s="115">
        <v>4702</v>
      </c>
      <c r="B42" s="116">
        <v>0</v>
      </c>
      <c r="C42" s="117" t="s">
        <v>1231</v>
      </c>
      <c r="D42" s="117" t="s">
        <v>1232</v>
      </c>
      <c r="E42" s="118" t="s">
        <v>1158</v>
      </c>
    </row>
    <row r="43" spans="1:5" ht="15" customHeight="1" x14ac:dyDescent="0.3">
      <c r="A43" s="115">
        <v>4858</v>
      </c>
      <c r="B43" s="116">
        <v>0</v>
      </c>
      <c r="C43" s="117" t="s">
        <v>1233</v>
      </c>
      <c r="D43" s="117" t="s">
        <v>1234</v>
      </c>
      <c r="E43" s="118" t="s">
        <v>1158</v>
      </c>
    </row>
    <row r="44" spans="1:5" ht="15" customHeight="1" x14ac:dyDescent="0.3">
      <c r="A44" s="115">
        <v>5703</v>
      </c>
      <c r="B44" s="116">
        <v>0</v>
      </c>
      <c r="C44" s="117" t="s">
        <v>1235</v>
      </c>
      <c r="D44" s="117" t="s">
        <v>1236</v>
      </c>
      <c r="E44" s="118" t="s">
        <v>1158</v>
      </c>
    </row>
    <row r="45" spans="1:5" ht="15" customHeight="1" x14ac:dyDescent="0.3">
      <c r="A45" s="115">
        <v>6513</v>
      </c>
      <c r="B45" s="116">
        <v>0</v>
      </c>
      <c r="C45" s="117" t="s">
        <v>1237</v>
      </c>
      <c r="D45" s="117" t="s">
        <v>1238</v>
      </c>
      <c r="E45" s="118" t="s">
        <v>1162</v>
      </c>
    </row>
    <row r="46" spans="1:5" ht="15" customHeight="1" x14ac:dyDescent="0.3">
      <c r="A46" s="115">
        <v>6518</v>
      </c>
      <c r="B46" s="116">
        <v>0</v>
      </c>
      <c r="C46" s="117" t="s">
        <v>1239</v>
      </c>
      <c r="D46" s="117" t="s">
        <v>1240</v>
      </c>
      <c r="E46" s="118" t="s">
        <v>1154</v>
      </c>
    </row>
    <row r="47" spans="1:5" ht="15" customHeight="1" x14ac:dyDescent="0.3">
      <c r="A47" s="115">
        <v>6535</v>
      </c>
      <c r="B47" s="116">
        <v>0</v>
      </c>
      <c r="C47" s="117" t="s">
        <v>1241</v>
      </c>
      <c r="D47" s="117" t="s">
        <v>1242</v>
      </c>
      <c r="E47" s="118" t="s">
        <v>1160</v>
      </c>
    </row>
    <row r="48" spans="1:5" ht="15" customHeight="1" x14ac:dyDescent="0.3">
      <c r="A48" s="115">
        <v>6536</v>
      </c>
      <c r="B48" s="116">
        <v>0</v>
      </c>
      <c r="C48" s="117" t="s">
        <v>1243</v>
      </c>
      <c r="D48" s="117" t="s">
        <v>1244</v>
      </c>
      <c r="E48" s="118" t="s">
        <v>1169</v>
      </c>
    </row>
    <row r="49" spans="1:5" ht="15" customHeight="1" x14ac:dyDescent="0.3">
      <c r="A49" s="115">
        <v>6541</v>
      </c>
      <c r="B49" s="116">
        <v>0</v>
      </c>
      <c r="C49" s="117" t="s">
        <v>1245</v>
      </c>
      <c r="D49" s="117" t="s">
        <v>1246</v>
      </c>
      <c r="E49" s="118" t="s">
        <v>1171</v>
      </c>
    </row>
    <row r="50" spans="1:5" ht="15" customHeight="1" x14ac:dyDescent="0.3">
      <c r="A50" s="115">
        <v>6565</v>
      </c>
      <c r="B50" s="116">
        <v>0</v>
      </c>
      <c r="C50" s="117" t="s">
        <v>1247</v>
      </c>
      <c r="D50" s="117" t="s">
        <v>1248</v>
      </c>
      <c r="E50" s="118" t="s">
        <v>1158</v>
      </c>
    </row>
    <row r="51" spans="1:5" ht="15" customHeight="1" x14ac:dyDescent="0.3">
      <c r="A51" s="115">
        <v>6640</v>
      </c>
      <c r="B51" s="116">
        <v>0</v>
      </c>
      <c r="C51" s="117" t="s">
        <v>1249</v>
      </c>
      <c r="D51" s="117" t="s">
        <v>1250</v>
      </c>
      <c r="E51" s="118" t="s">
        <v>1249</v>
      </c>
    </row>
    <row r="52" spans="1:5" ht="15" customHeight="1" x14ac:dyDescent="0.3">
      <c r="A52" s="115">
        <v>6680</v>
      </c>
      <c r="B52" s="116">
        <v>0</v>
      </c>
      <c r="C52" s="117" t="s">
        <v>1251</v>
      </c>
      <c r="D52" s="117" t="s">
        <v>1252</v>
      </c>
      <c r="E52" s="118" t="s">
        <v>1251</v>
      </c>
    </row>
    <row r="53" spans="1:5" ht="15" customHeight="1" x14ac:dyDescent="0.3">
      <c r="A53" s="115">
        <v>6682</v>
      </c>
      <c r="B53" s="116">
        <v>0</v>
      </c>
      <c r="C53" s="117" t="s">
        <v>1253</v>
      </c>
      <c r="D53" s="117" t="s">
        <v>1254</v>
      </c>
      <c r="E53" s="118" t="s">
        <v>1253</v>
      </c>
    </row>
    <row r="54" spans="1:5" ht="15" customHeight="1" x14ac:dyDescent="0.3">
      <c r="A54" s="115">
        <v>6690</v>
      </c>
      <c r="B54" s="116">
        <v>0</v>
      </c>
      <c r="C54" s="117" t="s">
        <v>1255</v>
      </c>
      <c r="D54" s="117" t="s">
        <v>1256</v>
      </c>
      <c r="E54" s="118" t="s">
        <v>1255</v>
      </c>
    </row>
    <row r="55" spans="1:5" ht="15" customHeight="1" x14ac:dyDescent="0.3">
      <c r="A55" s="115">
        <v>6708</v>
      </c>
      <c r="B55" s="116">
        <v>0</v>
      </c>
      <c r="C55" s="117" t="s">
        <v>1257</v>
      </c>
      <c r="D55" s="117" t="s">
        <v>1258</v>
      </c>
      <c r="E55" s="118" t="s">
        <v>1202</v>
      </c>
    </row>
    <row r="56" spans="1:5" ht="15" customHeight="1" x14ac:dyDescent="0.3">
      <c r="A56" s="115">
        <v>6710</v>
      </c>
      <c r="B56" s="116">
        <v>0</v>
      </c>
      <c r="C56" s="117" t="s">
        <v>1259</v>
      </c>
      <c r="D56" s="117" t="s">
        <v>1260</v>
      </c>
      <c r="E56" s="118" t="s">
        <v>1176</v>
      </c>
    </row>
    <row r="57" spans="1:5" ht="15" customHeight="1" x14ac:dyDescent="0.3">
      <c r="A57" s="115">
        <v>6739</v>
      </c>
      <c r="B57" s="116">
        <v>0</v>
      </c>
      <c r="C57" s="117" t="s">
        <v>1261</v>
      </c>
      <c r="D57" s="117" t="s">
        <v>1262</v>
      </c>
      <c r="E57" s="118" t="s">
        <v>1261</v>
      </c>
    </row>
    <row r="58" spans="1:5" ht="15" customHeight="1" x14ac:dyDescent="0.3">
      <c r="A58" s="115">
        <v>6773</v>
      </c>
      <c r="B58" s="116">
        <v>0</v>
      </c>
      <c r="C58" s="117" t="s">
        <v>1263</v>
      </c>
      <c r="D58" s="117" t="s">
        <v>1264</v>
      </c>
      <c r="E58" s="118" t="s">
        <v>1263</v>
      </c>
    </row>
    <row r="59" spans="1:5" ht="15" customHeight="1" x14ac:dyDescent="0.3">
      <c r="A59" s="115">
        <v>6774</v>
      </c>
      <c r="B59" s="116">
        <v>0</v>
      </c>
      <c r="C59" s="117" t="s">
        <v>1265</v>
      </c>
      <c r="D59" s="117" t="s">
        <v>1266</v>
      </c>
      <c r="E59" s="118" t="s">
        <v>1194</v>
      </c>
    </row>
    <row r="60" spans="1:5" ht="15" customHeight="1" x14ac:dyDescent="0.3">
      <c r="A60" s="115">
        <v>6869</v>
      </c>
      <c r="B60" s="116">
        <v>0</v>
      </c>
      <c r="C60" s="117" t="s">
        <v>1267</v>
      </c>
      <c r="D60" s="117" t="s">
        <v>1268</v>
      </c>
      <c r="E60" s="118" t="s">
        <v>1158</v>
      </c>
    </row>
    <row r="61" spans="1:5" ht="15" customHeight="1" x14ac:dyDescent="0.3">
      <c r="A61" s="115">
        <v>6915</v>
      </c>
      <c r="B61" s="116">
        <v>0</v>
      </c>
      <c r="C61" s="117" t="s">
        <v>1269</v>
      </c>
      <c r="D61" s="117" t="s">
        <v>1270</v>
      </c>
      <c r="E61" s="118" t="s">
        <v>1271</v>
      </c>
    </row>
    <row r="62" spans="1:5" ht="15" customHeight="1" x14ac:dyDescent="0.3">
      <c r="A62" s="115">
        <v>6925</v>
      </c>
      <c r="B62" s="116">
        <v>0</v>
      </c>
      <c r="C62" s="117" t="s">
        <v>1272</v>
      </c>
      <c r="D62" s="117" t="s">
        <v>1273</v>
      </c>
      <c r="E62" s="118" t="s">
        <v>1154</v>
      </c>
    </row>
    <row r="63" spans="1:5" ht="15" customHeight="1" x14ac:dyDescent="0.3">
      <c r="A63" s="115">
        <v>6926</v>
      </c>
      <c r="B63" s="116">
        <v>0</v>
      </c>
      <c r="C63" s="117" t="s">
        <v>1274</v>
      </c>
      <c r="D63" s="117" t="s">
        <v>1275</v>
      </c>
      <c r="E63" s="118" t="s">
        <v>1154</v>
      </c>
    </row>
    <row r="64" spans="1:5" ht="15" customHeight="1" x14ac:dyDescent="0.3">
      <c r="A64" s="115">
        <v>6935</v>
      </c>
      <c r="B64" s="116">
        <v>0</v>
      </c>
      <c r="C64" s="117" t="s">
        <v>1276</v>
      </c>
      <c r="D64" s="117" t="s">
        <v>1277</v>
      </c>
      <c r="E64" s="118" t="s">
        <v>1276</v>
      </c>
    </row>
    <row r="65" spans="1:5" ht="15" customHeight="1" x14ac:dyDescent="0.3">
      <c r="A65" s="115">
        <v>6953</v>
      </c>
      <c r="B65" s="116">
        <v>0</v>
      </c>
      <c r="C65" s="117" t="s">
        <v>1278</v>
      </c>
      <c r="D65" s="117" t="s">
        <v>1279</v>
      </c>
      <c r="E65" s="118" t="s">
        <v>1154</v>
      </c>
    </row>
    <row r="66" spans="1:5" ht="15" customHeight="1" x14ac:dyDescent="0.3">
      <c r="A66" s="115">
        <v>6958</v>
      </c>
      <c r="B66" s="116">
        <v>0</v>
      </c>
      <c r="C66" s="117" t="s">
        <v>1280</v>
      </c>
      <c r="D66" s="117" t="s">
        <v>1281</v>
      </c>
      <c r="E66" s="118" t="s">
        <v>1158</v>
      </c>
    </row>
    <row r="67" spans="1:5" ht="15" customHeight="1" x14ac:dyDescent="0.3">
      <c r="A67" s="115">
        <v>6959</v>
      </c>
      <c r="B67" s="116">
        <v>0</v>
      </c>
      <c r="C67" s="117" t="s">
        <v>1282</v>
      </c>
      <c r="D67" s="117" t="s">
        <v>1283</v>
      </c>
      <c r="E67" s="118" t="s">
        <v>1160</v>
      </c>
    </row>
    <row r="68" spans="1:5" ht="15" customHeight="1" x14ac:dyDescent="0.3">
      <c r="A68" s="115">
        <v>7027</v>
      </c>
      <c r="B68" s="116">
        <v>0</v>
      </c>
      <c r="C68" s="117" t="s">
        <v>1284</v>
      </c>
      <c r="D68" s="117" t="s">
        <v>1285</v>
      </c>
      <c r="E68" s="118" t="s">
        <v>1158</v>
      </c>
    </row>
    <row r="69" spans="1:5" ht="15" customHeight="1" x14ac:dyDescent="0.3">
      <c r="A69" s="115">
        <v>7061</v>
      </c>
      <c r="B69" s="116">
        <v>0</v>
      </c>
      <c r="C69" s="117" t="s">
        <v>1286</v>
      </c>
      <c r="D69" s="117" t="s">
        <v>1287</v>
      </c>
      <c r="E69" s="118" t="s">
        <v>1160</v>
      </c>
    </row>
    <row r="70" spans="1:5" ht="15" customHeight="1" x14ac:dyDescent="0.3">
      <c r="A70" s="115">
        <v>7083</v>
      </c>
      <c r="B70" s="116">
        <v>0</v>
      </c>
      <c r="C70" s="117" t="s">
        <v>1288</v>
      </c>
      <c r="D70" s="117" t="s">
        <v>1289</v>
      </c>
      <c r="E70" s="118" t="s">
        <v>1154</v>
      </c>
    </row>
    <row r="71" spans="1:5" ht="15" customHeight="1" x14ac:dyDescent="0.3">
      <c r="A71" s="115">
        <v>7089</v>
      </c>
      <c r="B71" s="116">
        <v>0</v>
      </c>
      <c r="C71" s="117" t="s">
        <v>1290</v>
      </c>
      <c r="D71" s="117" t="s">
        <v>1291</v>
      </c>
      <c r="E71" s="118" t="s">
        <v>1160</v>
      </c>
    </row>
    <row r="72" spans="1:5" ht="15" customHeight="1" x14ac:dyDescent="0.3">
      <c r="A72" s="115">
        <v>1476</v>
      </c>
      <c r="B72" s="116">
        <v>4</v>
      </c>
      <c r="C72" s="117" t="s">
        <v>1292</v>
      </c>
      <c r="D72" s="117" t="s">
        <v>1293</v>
      </c>
      <c r="E72" s="118" t="s">
        <v>1186</v>
      </c>
    </row>
    <row r="73" spans="1:5" ht="15" customHeight="1" x14ac:dyDescent="0.3">
      <c r="A73" s="115">
        <v>1490</v>
      </c>
      <c r="B73" s="116">
        <v>1</v>
      </c>
      <c r="C73" s="117" t="s">
        <v>1294</v>
      </c>
      <c r="D73" s="117" t="s">
        <v>1295</v>
      </c>
      <c r="E73" s="118" t="s">
        <v>1188</v>
      </c>
    </row>
    <row r="74" spans="1:5" ht="15" customHeight="1" x14ac:dyDescent="0.3">
      <c r="A74" s="115">
        <v>1645</v>
      </c>
      <c r="B74" s="116">
        <v>5</v>
      </c>
      <c r="C74" s="117" t="s">
        <v>1296</v>
      </c>
      <c r="D74" s="117" t="s">
        <v>1297</v>
      </c>
      <c r="E74" s="118" t="s">
        <v>1298</v>
      </c>
    </row>
    <row r="75" spans="1:5" ht="15" customHeight="1" x14ac:dyDescent="0.3">
      <c r="A75" s="115">
        <v>2022</v>
      </c>
      <c r="B75" s="116">
        <v>2</v>
      </c>
      <c r="C75" s="117" t="s">
        <v>1299</v>
      </c>
      <c r="D75" s="117" t="s">
        <v>1300</v>
      </c>
      <c r="E75" s="118" t="s">
        <v>1198</v>
      </c>
    </row>
    <row r="76" spans="1:5" ht="15" customHeight="1" x14ac:dyDescent="0.3">
      <c r="A76" s="115">
        <v>2578</v>
      </c>
      <c r="B76" s="116">
        <v>2</v>
      </c>
      <c r="C76" s="117" t="s">
        <v>1301</v>
      </c>
      <c r="D76" s="117" t="s">
        <v>1302</v>
      </c>
      <c r="E76" s="118" t="s">
        <v>1210</v>
      </c>
    </row>
    <row r="77" spans="1:5" ht="15" customHeight="1" x14ac:dyDescent="0.3">
      <c r="A77" s="115">
        <v>2608</v>
      </c>
      <c r="B77" s="116">
        <v>2</v>
      </c>
      <c r="C77" s="117" t="s">
        <v>1303</v>
      </c>
      <c r="D77" s="117" t="s">
        <v>1304</v>
      </c>
      <c r="E77" s="118" t="s">
        <v>1212</v>
      </c>
    </row>
    <row r="78" spans="1:5" ht="15" customHeight="1" x14ac:dyDescent="0.3">
      <c r="A78" s="115">
        <v>2648</v>
      </c>
      <c r="B78" s="116">
        <v>1</v>
      </c>
      <c r="C78" s="117" t="s">
        <v>1305</v>
      </c>
      <c r="D78" s="117" t="s">
        <v>1306</v>
      </c>
      <c r="E78" s="118" t="s">
        <v>1216</v>
      </c>
    </row>
    <row r="79" spans="1:5" ht="15" customHeight="1" x14ac:dyDescent="0.3">
      <c r="A79" s="115">
        <v>3029</v>
      </c>
      <c r="B79" s="116">
        <v>6</v>
      </c>
      <c r="C79" s="117" t="s">
        <v>1307</v>
      </c>
      <c r="D79" s="117" t="s">
        <v>1308</v>
      </c>
      <c r="E79" s="118" t="s">
        <v>1219</v>
      </c>
    </row>
    <row r="80" spans="1:5" ht="15" customHeight="1" x14ac:dyDescent="0.3">
      <c r="A80" s="115">
        <v>6513</v>
      </c>
      <c r="B80" s="116">
        <v>1</v>
      </c>
      <c r="C80" s="117" t="s">
        <v>1309</v>
      </c>
      <c r="D80" s="117" t="s">
        <v>1310</v>
      </c>
      <c r="E80" s="118" t="s">
        <v>1162</v>
      </c>
    </row>
    <row r="81" spans="1:5" ht="15" customHeight="1" x14ac:dyDescent="0.3">
      <c r="A81" s="115">
        <v>6518</v>
      </c>
      <c r="B81" s="116">
        <v>1</v>
      </c>
      <c r="C81" s="117" t="s">
        <v>1311</v>
      </c>
      <c r="D81" s="117" t="s">
        <v>1312</v>
      </c>
      <c r="E81" s="118" t="s">
        <v>1154</v>
      </c>
    </row>
    <row r="82" spans="1:5" ht="15" customHeight="1" x14ac:dyDescent="0.3">
      <c r="A82" s="115">
        <v>6536</v>
      </c>
      <c r="B82" s="116">
        <v>1</v>
      </c>
      <c r="C82" s="117" t="s">
        <v>1313</v>
      </c>
      <c r="D82" s="117" t="s">
        <v>1314</v>
      </c>
      <c r="E82" s="118" t="s">
        <v>1169</v>
      </c>
    </row>
    <row r="83" spans="1:5" ht="15" customHeight="1" x14ac:dyDescent="0.3">
      <c r="A83" s="115">
        <v>6541</v>
      </c>
      <c r="B83" s="116">
        <v>1</v>
      </c>
      <c r="C83" s="117" t="s">
        <v>1315</v>
      </c>
      <c r="D83" s="117" t="s">
        <v>1316</v>
      </c>
      <c r="E83" s="118" t="s">
        <v>1171</v>
      </c>
    </row>
    <row r="84" spans="1:5" ht="15" customHeight="1" x14ac:dyDescent="0.3">
      <c r="A84" s="115">
        <v>6565</v>
      </c>
      <c r="B84" s="116">
        <v>3</v>
      </c>
      <c r="C84" s="117" t="s">
        <v>1317</v>
      </c>
      <c r="D84" s="117" t="s">
        <v>1318</v>
      </c>
      <c r="E84" s="118" t="s">
        <v>1158</v>
      </c>
    </row>
    <row r="85" spans="1:5" ht="15" customHeight="1" x14ac:dyDescent="0.3">
      <c r="A85" s="115">
        <v>6710</v>
      </c>
      <c r="B85" s="116">
        <v>1</v>
      </c>
      <c r="C85" s="117" t="s">
        <v>1319</v>
      </c>
      <c r="D85" s="117" t="s">
        <v>1320</v>
      </c>
      <c r="E85" s="118" t="s">
        <v>1176</v>
      </c>
    </row>
    <row r="86" spans="1:5" ht="15" customHeight="1" x14ac:dyDescent="0.3">
      <c r="A86" s="115">
        <v>6774</v>
      </c>
      <c r="B86" s="116">
        <v>1</v>
      </c>
      <c r="C86" s="117" t="s">
        <v>1321</v>
      </c>
      <c r="D86" s="117" t="s">
        <v>1322</v>
      </c>
      <c r="E86" s="118" t="s">
        <v>1194</v>
      </c>
    </row>
    <row r="87" spans="1:5" ht="15" customHeight="1" x14ac:dyDescent="0.3">
      <c r="A87" s="115">
        <v>6935</v>
      </c>
      <c r="B87" s="116">
        <v>1</v>
      </c>
      <c r="C87" s="117" t="s">
        <v>1323</v>
      </c>
      <c r="D87" s="117" t="s">
        <v>1324</v>
      </c>
      <c r="E87" s="118" t="s">
        <v>1276</v>
      </c>
    </row>
    <row r="88" spans="1:5" ht="15" customHeight="1" x14ac:dyDescent="0.3">
      <c r="A88" s="115">
        <v>6959</v>
      </c>
      <c r="B88" s="116">
        <v>1</v>
      </c>
      <c r="C88" s="117" t="s">
        <v>1325</v>
      </c>
      <c r="D88" s="117" t="s">
        <v>1326</v>
      </c>
      <c r="E88" s="118" t="s">
        <v>1160</v>
      </c>
    </row>
    <row r="89" spans="1:5" ht="15" customHeight="1" x14ac:dyDescent="0.3">
      <c r="A89" s="115">
        <v>5899</v>
      </c>
      <c r="B89" s="116">
        <v>0</v>
      </c>
      <c r="C89" s="117" t="s">
        <v>1327</v>
      </c>
      <c r="D89" s="117" t="s">
        <v>1328</v>
      </c>
      <c r="E89" s="118" t="s">
        <v>1158</v>
      </c>
    </row>
    <row r="90" spans="1:5" ht="15" customHeight="1" x14ac:dyDescent="0.3">
      <c r="A90" s="115">
        <v>5968</v>
      </c>
      <c r="B90" s="116">
        <v>0</v>
      </c>
      <c r="C90" s="117" t="s">
        <v>1329</v>
      </c>
      <c r="D90" s="117" t="s">
        <v>1330</v>
      </c>
      <c r="E90" s="118" t="s">
        <v>1160</v>
      </c>
    </row>
    <row r="91" spans="1:5" ht="15" customHeight="1" x14ac:dyDescent="0.3">
      <c r="A91" s="115">
        <v>5971</v>
      </c>
      <c r="B91" s="116">
        <v>0</v>
      </c>
      <c r="C91" s="117" t="s">
        <v>1331</v>
      </c>
      <c r="D91" s="117" t="s">
        <v>1332</v>
      </c>
      <c r="E91" s="118" t="s">
        <v>1158</v>
      </c>
    </row>
    <row r="92" spans="1:5" ht="15" customHeight="1" x14ac:dyDescent="0.3">
      <c r="A92" s="115">
        <v>5802</v>
      </c>
      <c r="B92" s="116">
        <v>0</v>
      </c>
      <c r="C92" s="117" t="s">
        <v>1333</v>
      </c>
      <c r="D92" s="117" t="s">
        <v>1334</v>
      </c>
      <c r="E92" s="118" t="s">
        <v>1158</v>
      </c>
    </row>
    <row r="93" spans="1:5" ht="15" customHeight="1" x14ac:dyDescent="0.3">
      <c r="A93" s="115">
        <v>6513</v>
      </c>
      <c r="B93" s="116">
        <v>4</v>
      </c>
      <c r="C93" s="117" t="s">
        <v>1335</v>
      </c>
      <c r="D93" s="117" t="s">
        <v>1336</v>
      </c>
      <c r="E93" s="118" t="s">
        <v>1162</v>
      </c>
    </row>
    <row r="94" spans="1:5" ht="15" customHeight="1" x14ac:dyDescent="0.3">
      <c r="A94" s="115">
        <v>8642</v>
      </c>
      <c r="B94" s="116">
        <v>0</v>
      </c>
      <c r="C94" s="117" t="s">
        <v>1337</v>
      </c>
      <c r="D94" s="117" t="s">
        <v>1226</v>
      </c>
      <c r="E94" s="118" t="s">
        <v>1158</v>
      </c>
    </row>
    <row r="95" spans="1:5" ht="15" customHeight="1" x14ac:dyDescent="0.3">
      <c r="A95" s="115">
        <v>1451</v>
      </c>
      <c r="B95" s="116">
        <v>11</v>
      </c>
      <c r="C95" s="117" t="s">
        <v>1338</v>
      </c>
      <c r="D95" s="117" t="s">
        <v>1339</v>
      </c>
      <c r="E95" s="118" t="s">
        <v>1184</v>
      </c>
    </row>
    <row r="96" spans="1:5" ht="15" customHeight="1" x14ac:dyDescent="0.3">
      <c r="A96" s="115">
        <v>449</v>
      </c>
      <c r="B96" s="116">
        <v>11</v>
      </c>
      <c r="C96" s="117" t="s">
        <v>1340</v>
      </c>
      <c r="D96" s="117" t="s">
        <v>1341</v>
      </c>
      <c r="E96" s="118" t="s">
        <v>1168</v>
      </c>
    </row>
    <row r="97" spans="1:5" ht="15" customHeight="1" x14ac:dyDescent="0.3">
      <c r="A97" s="115">
        <v>449</v>
      </c>
      <c r="B97" s="116">
        <v>10</v>
      </c>
      <c r="C97" s="117" t="s">
        <v>1342</v>
      </c>
      <c r="D97" s="117" t="s">
        <v>1343</v>
      </c>
      <c r="E97" s="118" t="s">
        <v>1344</v>
      </c>
    </row>
    <row r="98" spans="1:5" ht="15" customHeight="1" x14ac:dyDescent="0.3">
      <c r="A98" s="115">
        <v>2748</v>
      </c>
      <c r="B98" s="116">
        <v>15</v>
      </c>
      <c r="C98" s="117" t="s">
        <v>1345</v>
      </c>
      <c r="D98" s="117" t="s">
        <v>1346</v>
      </c>
      <c r="E98" s="118" t="s">
        <v>1217</v>
      </c>
    </row>
    <row r="99" spans="1:5" ht="15" customHeight="1" x14ac:dyDescent="0.3">
      <c r="A99" s="115">
        <v>715</v>
      </c>
      <c r="B99" s="116">
        <v>23</v>
      </c>
      <c r="C99" s="117" t="s">
        <v>1347</v>
      </c>
      <c r="D99" s="117" t="s">
        <v>1348</v>
      </c>
      <c r="E99" s="118" t="s">
        <v>1175</v>
      </c>
    </row>
    <row r="100" spans="1:5" ht="15" customHeight="1" x14ac:dyDescent="0.3">
      <c r="A100" s="115">
        <v>1683</v>
      </c>
      <c r="B100" s="116">
        <v>5</v>
      </c>
      <c r="C100" s="117" t="s">
        <v>1349</v>
      </c>
      <c r="D100" s="117" t="s">
        <v>1350</v>
      </c>
      <c r="E100" s="118" t="s">
        <v>1192</v>
      </c>
    </row>
    <row r="101" spans="1:5" ht="15" customHeight="1" x14ac:dyDescent="0.3">
      <c r="A101" s="115">
        <v>9194</v>
      </c>
      <c r="B101" s="116">
        <v>0</v>
      </c>
      <c r="C101" s="117" t="s">
        <v>1351</v>
      </c>
      <c r="D101" s="117" t="s">
        <v>1334</v>
      </c>
      <c r="E101" s="118" t="s">
        <v>1158</v>
      </c>
    </row>
    <row r="102" spans="1:5" ht="15" customHeight="1" x14ac:dyDescent="0.3">
      <c r="A102" s="115">
        <v>9183</v>
      </c>
      <c r="B102" s="116">
        <v>0</v>
      </c>
      <c r="C102" s="117" t="s">
        <v>1352</v>
      </c>
      <c r="D102" s="117" t="s">
        <v>1353</v>
      </c>
      <c r="E102" s="118" t="s">
        <v>1160</v>
      </c>
    </row>
    <row r="103" spans="1:5" ht="15" customHeight="1" x14ac:dyDescent="0.3">
      <c r="A103" s="115">
        <v>9934</v>
      </c>
      <c r="B103" s="116">
        <v>0</v>
      </c>
      <c r="C103" s="117" t="s">
        <v>1354</v>
      </c>
      <c r="D103" s="117" t="s">
        <v>1355</v>
      </c>
      <c r="E103" s="118" t="s">
        <v>1160</v>
      </c>
    </row>
    <row r="104" spans="1:5" ht="15" customHeight="1" x14ac:dyDescent="0.3">
      <c r="A104" s="115">
        <v>9794</v>
      </c>
      <c r="B104" s="116">
        <v>0</v>
      </c>
      <c r="C104" s="117" t="s">
        <v>1356</v>
      </c>
      <c r="D104" s="117" t="s">
        <v>1155</v>
      </c>
      <c r="E104" s="118" t="s">
        <v>1154</v>
      </c>
    </row>
    <row r="105" spans="1:5" ht="15" customHeight="1" x14ac:dyDescent="0.3">
      <c r="A105" s="115">
        <v>857</v>
      </c>
      <c r="B105" s="116">
        <v>14</v>
      </c>
      <c r="C105" s="117" t="s">
        <v>1357</v>
      </c>
      <c r="D105" s="117" t="s">
        <v>1358</v>
      </c>
      <c r="E105" s="118" t="s">
        <v>1178</v>
      </c>
    </row>
    <row r="106" spans="1:5" ht="15" customHeight="1" x14ac:dyDescent="0.3">
      <c r="A106" s="115">
        <v>857</v>
      </c>
      <c r="B106" s="116">
        <v>13</v>
      </c>
      <c r="C106" s="117" t="s">
        <v>1359</v>
      </c>
      <c r="D106" s="117" t="s">
        <v>1360</v>
      </c>
      <c r="E106" s="118" t="s">
        <v>1178</v>
      </c>
    </row>
    <row r="107" spans="1:5" ht="15" customHeight="1" x14ac:dyDescent="0.3">
      <c r="A107" s="115">
        <v>6640</v>
      </c>
      <c r="B107" s="116">
        <v>2</v>
      </c>
      <c r="C107" s="117" t="s">
        <v>1361</v>
      </c>
      <c r="D107" s="117" t="s">
        <v>1362</v>
      </c>
      <c r="E107" s="118" t="s">
        <v>1208</v>
      </c>
    </row>
    <row r="108" spans="1:5" ht="15" customHeight="1" x14ac:dyDescent="0.3">
      <c r="A108" s="115">
        <v>2466</v>
      </c>
      <c r="B108" s="116">
        <v>5</v>
      </c>
      <c r="C108" s="117" t="s">
        <v>1363</v>
      </c>
      <c r="D108" s="117" t="s">
        <v>1364</v>
      </c>
      <c r="E108" s="118" t="s">
        <v>1202</v>
      </c>
    </row>
    <row r="109" spans="1:5" ht="15" customHeight="1" x14ac:dyDescent="0.3">
      <c r="A109" s="115">
        <v>175</v>
      </c>
      <c r="B109" s="116">
        <v>29</v>
      </c>
      <c r="C109" s="117" t="s">
        <v>1365</v>
      </c>
      <c r="D109" s="117" t="s">
        <v>1366</v>
      </c>
      <c r="E109" s="118" t="s">
        <v>1158</v>
      </c>
    </row>
    <row r="110" spans="1:5" ht="15" customHeight="1" x14ac:dyDescent="0.3">
      <c r="A110" s="115">
        <v>175</v>
      </c>
      <c r="B110" s="116">
        <v>28</v>
      </c>
      <c r="C110" s="117" t="s">
        <v>1367</v>
      </c>
      <c r="D110" s="117" t="s">
        <v>1236</v>
      </c>
      <c r="E110" s="118" t="s">
        <v>1158</v>
      </c>
    </row>
    <row r="111" spans="1:5" ht="15" customHeight="1" x14ac:dyDescent="0.3">
      <c r="A111" s="115">
        <v>7027</v>
      </c>
      <c r="B111" s="116">
        <v>2</v>
      </c>
      <c r="C111" s="117" t="s">
        <v>1368</v>
      </c>
      <c r="D111" s="117" t="s">
        <v>1369</v>
      </c>
      <c r="E111" s="118" t="s">
        <v>1158</v>
      </c>
    </row>
    <row r="112" spans="1:5" ht="15" customHeight="1" x14ac:dyDescent="0.3">
      <c r="A112" s="119">
        <v>175</v>
      </c>
      <c r="B112" s="120">
        <v>26</v>
      </c>
      <c r="C112" s="121" t="s">
        <v>1370</v>
      </c>
      <c r="D112" s="121" t="s">
        <v>1371</v>
      </c>
      <c r="E112" s="122" t="s">
        <v>1158</v>
      </c>
    </row>
  </sheetData>
  <mergeCells count="1">
    <mergeCell ref="A1:E3"/>
  </mergeCells>
  <phoneticPr fontId="1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view="pageBreakPreview" topLeftCell="B28" zoomScale="130" zoomScaleNormal="100" zoomScaleSheetLayoutView="130" workbookViewId="0">
      <selection activeCell="E1" sqref="E1"/>
    </sheetView>
  </sheetViews>
  <sheetFormatPr defaultColWidth="9.44140625" defaultRowHeight="14.4" x14ac:dyDescent="0.3"/>
  <cols>
    <col min="2" max="2" width="60.5546875" customWidth="1"/>
    <col min="3" max="3" width="20.5546875" customWidth="1"/>
    <col min="5" max="5" width="50.44140625" customWidth="1"/>
  </cols>
  <sheetData>
    <row r="1" spans="2:5" ht="50.25" customHeight="1" x14ac:dyDescent="0.3">
      <c r="B1" s="282" t="s">
        <v>992</v>
      </c>
      <c r="C1" s="282"/>
      <c r="E1" s="80" t="s">
        <v>993</v>
      </c>
    </row>
    <row r="2" spans="2:5" ht="15" thickBot="1" x14ac:dyDescent="0.35"/>
    <row r="3" spans="2:5" ht="15" customHeight="1" x14ac:dyDescent="0.3">
      <c r="B3" s="283" t="s">
        <v>994</v>
      </c>
      <c r="C3" s="284"/>
    </row>
    <row r="4" spans="2:5" ht="15.75" customHeight="1" thickBot="1" x14ac:dyDescent="0.35">
      <c r="B4" s="285"/>
      <c r="C4" s="286"/>
    </row>
    <row r="5" spans="2:5" ht="15" thickBot="1" x14ac:dyDescent="0.35">
      <c r="B5" s="62"/>
      <c r="C5" s="63"/>
    </row>
    <row r="6" spans="2:5" ht="15.75" customHeight="1" x14ac:dyDescent="0.3">
      <c r="B6" s="287" t="s">
        <v>995</v>
      </c>
      <c r="C6" s="288"/>
    </row>
    <row r="7" spans="2:5" x14ac:dyDescent="0.3">
      <c r="B7" s="289"/>
      <c r="C7" s="290"/>
    </row>
    <row r="8" spans="2:5" ht="15" thickBot="1" x14ac:dyDescent="0.35">
      <c r="B8" s="291"/>
      <c r="C8" s="292"/>
    </row>
    <row r="9" spans="2:5" ht="15" thickBot="1" x14ac:dyDescent="0.35">
      <c r="B9" s="293" t="s">
        <v>996</v>
      </c>
      <c r="C9" s="294"/>
    </row>
    <row r="10" spans="2:5" x14ac:dyDescent="0.3">
      <c r="B10" s="64" t="s">
        <v>997</v>
      </c>
      <c r="C10" s="65">
        <v>0.03</v>
      </c>
    </row>
    <row r="11" spans="2:5" x14ac:dyDescent="0.3">
      <c r="B11" s="66" t="s">
        <v>998</v>
      </c>
      <c r="C11" s="67">
        <v>8.0000000000000002E-3</v>
      </c>
    </row>
    <row r="12" spans="2:5" x14ac:dyDescent="0.3">
      <c r="B12" s="66" t="s">
        <v>999</v>
      </c>
      <c r="C12" s="67">
        <v>9.7000000000000003E-3</v>
      </c>
    </row>
    <row r="13" spans="2:5" ht="15" thickBot="1" x14ac:dyDescent="0.35">
      <c r="B13" s="66" t="s">
        <v>1000</v>
      </c>
      <c r="C13" s="67">
        <v>5.8999999999999999E-3</v>
      </c>
    </row>
    <row r="14" spans="2:5" ht="15" thickBot="1" x14ac:dyDescent="0.35">
      <c r="B14" s="293" t="s">
        <v>1001</v>
      </c>
      <c r="C14" s="294"/>
    </row>
    <row r="15" spans="2:5" ht="15" customHeight="1" thickBot="1" x14ac:dyDescent="0.35">
      <c r="B15" s="66" t="s">
        <v>1002</v>
      </c>
      <c r="C15" s="67">
        <v>6.1600000000000002E-2</v>
      </c>
    </row>
    <row r="16" spans="2:5" ht="15" thickBot="1" x14ac:dyDescent="0.35">
      <c r="B16" s="293" t="s">
        <v>1003</v>
      </c>
      <c r="C16" s="294"/>
    </row>
    <row r="17" spans="2:3" x14ac:dyDescent="0.3">
      <c r="B17" s="66" t="s">
        <v>1004</v>
      </c>
      <c r="C17" s="67">
        <v>0.05</v>
      </c>
    </row>
    <row r="18" spans="2:3" x14ac:dyDescent="0.3">
      <c r="B18" s="66" t="s">
        <v>1005</v>
      </c>
      <c r="C18" s="67">
        <v>6.4999999999999997E-3</v>
      </c>
    </row>
    <row r="19" spans="2:3" x14ac:dyDescent="0.3">
      <c r="B19" s="66" t="s">
        <v>1006</v>
      </c>
      <c r="C19" s="67">
        <v>0.03</v>
      </c>
    </row>
    <row r="20" spans="2:3" ht="15" thickBot="1" x14ac:dyDescent="0.35">
      <c r="B20" s="68" t="s">
        <v>1007</v>
      </c>
      <c r="C20" s="69">
        <v>4.4999999999999998E-2</v>
      </c>
    </row>
    <row r="21" spans="2:3" ht="15" thickBot="1" x14ac:dyDescent="0.35">
      <c r="B21" s="70" t="s">
        <v>1008</v>
      </c>
      <c r="C21" s="71">
        <f>ROUND(((1+(C10+C11+C12))*(1+C13)*(1+C15))/(1-(C17+C18+C19+C20))-1,4)</f>
        <v>0.28820000000000001</v>
      </c>
    </row>
    <row r="22" spans="2:3" x14ac:dyDescent="0.3">
      <c r="B22" s="270" t="s">
        <v>1009</v>
      </c>
      <c r="C22" s="271"/>
    </row>
    <row r="23" spans="2:3" x14ac:dyDescent="0.3">
      <c r="B23" s="272"/>
      <c r="C23" s="273"/>
    </row>
    <row r="24" spans="2:3" x14ac:dyDescent="0.3">
      <c r="B24" s="272"/>
      <c r="C24" s="273"/>
    </row>
    <row r="25" spans="2:3" ht="15" thickBot="1" x14ac:dyDescent="0.35">
      <c r="B25" s="274"/>
      <c r="C25" s="275"/>
    </row>
    <row r="26" spans="2:3" ht="194.25" customHeight="1" x14ac:dyDescent="0.3">
      <c r="B26" s="276" t="s">
        <v>1010</v>
      </c>
      <c r="C26" s="277"/>
    </row>
    <row r="27" spans="2:3" ht="15.75" customHeight="1" thickBot="1" x14ac:dyDescent="0.35">
      <c r="B27" s="72"/>
      <c r="C27" s="73"/>
    </row>
    <row r="28" spans="2:3" ht="15" customHeight="1" x14ac:dyDescent="0.3">
      <c r="B28" s="278" t="s">
        <v>1011</v>
      </c>
      <c r="C28" s="279"/>
    </row>
    <row r="29" spans="2:3" ht="15" thickBot="1" x14ac:dyDescent="0.35">
      <c r="B29" s="280"/>
      <c r="C29" s="281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6" ma:contentTypeDescription="Crie um novo documento." ma:contentTypeScope="" ma:versionID="80f9a4b52fb2f0f8516a031e4b13c9da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cc3d3a33c0f2e5afe7678baa7462be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9859E0-32A3-4D2B-95FF-D1A4181F886B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340b2871-b3a3-450f-9b79-d1cee821277c"/>
    <ds:schemaRef ds:uri="04e90cdd-4795-421a-9a00-97aceb5a0bd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B6D0EC1-81E8-4001-828F-E55EB0DA7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RAT</vt:lpstr>
      <vt:lpstr>Conformidade</vt:lpstr>
      <vt:lpstr>Valores</vt:lpstr>
      <vt:lpstr>Prefixos</vt:lpstr>
      <vt:lpstr>BDI</vt:lpstr>
      <vt:lpstr>BDI!Area_de_impressao</vt:lpstr>
      <vt:lpstr>RAT!Area_de_impressao</vt:lpstr>
      <vt:lpstr>Valores!Area_de_impressao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2025-03-20T17:00:28Z</cp:lastPrinted>
  <dcterms:created xsi:type="dcterms:W3CDTF">2019-04-04T14:13:54Z</dcterms:created>
  <dcterms:modified xsi:type="dcterms:W3CDTF">2026-02-26T19:24:02Z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0x010100AFC73E9C5CC9E5489EA86A680F9DCBDC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2023-05-10T14:24:01Z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83e7c7fd-a4e8-4c35-a093-cb28ef288ee5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956200</vt:r8>
  </property>
  <property fmtid="{D5CDD505-2E9C-101B-9397-08002B2CF9AE}" pid="11" name="MediaServiceImageTags">
    <vt:lpwstr/>
  </property>
</Properties>
</file>